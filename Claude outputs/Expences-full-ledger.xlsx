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নির্দেশিকা" sheetId="1" state="visible" r:id="rId1"/>
    <sheet xmlns:r="http://schemas.openxmlformats.org/officeDocument/2006/relationships" name="বার্ষিক সারসংক্ষেপ" sheetId="2" state="visible" r:id="rId2"/>
    <sheet xmlns:r="http://schemas.openxmlformats.org/officeDocument/2006/relationships" name="ধার-দেনা" sheetId="3" state="visible" r:id="rId3"/>
    <sheet xmlns:r="http://schemas.openxmlformats.org/officeDocument/2006/relationships" name="বাজেট" sheetId="4" state="visible" r:id="rId4"/>
    <sheet xmlns:r="http://schemas.openxmlformats.org/officeDocument/2006/relationships" name="পুনরাবৃত্ত খরচ" sheetId="5" state="visible" r:id="rId5"/>
    <sheet xmlns:r="http://schemas.openxmlformats.org/officeDocument/2006/relationships" name="সেটিংস" sheetId="6" state="visible" r:id="rId6"/>
    <sheet xmlns:r="http://schemas.openxmlformats.org/officeDocument/2006/relationships" name="জানুয়ারি ২০২৬" sheetId="7" state="visible" r:id="rId7"/>
    <sheet xmlns:r="http://schemas.openxmlformats.org/officeDocument/2006/relationships" name="ফেব্রুয়ারি ২০২৬" sheetId="8" state="visible" r:id="rId8"/>
    <sheet xmlns:r="http://schemas.openxmlformats.org/officeDocument/2006/relationships" name="মার্চ ২০২৬" sheetId="9" state="visible" r:id="rId9"/>
    <sheet xmlns:r="http://schemas.openxmlformats.org/officeDocument/2006/relationships" name="এপ্রিল ২০২৬" sheetId="10" state="visible" r:id="rId10"/>
    <sheet xmlns:r="http://schemas.openxmlformats.org/officeDocument/2006/relationships" name="মে ২০২৬" sheetId="11" state="visible" r:id="rId11"/>
    <sheet xmlns:r="http://schemas.openxmlformats.org/officeDocument/2006/relationships" name="জুন ২০২৬" sheetId="12" state="visible" r:id="rId12"/>
    <sheet xmlns:r="http://schemas.openxmlformats.org/officeDocument/2006/relationships" name="জুলাই ২০২৬" sheetId="13" state="visible" r:id="rId13"/>
    <sheet xmlns:r="http://schemas.openxmlformats.org/officeDocument/2006/relationships" name="আগস্ট ২০২৬" sheetId="14" state="visible" r:id="rId14"/>
    <sheet xmlns:r="http://schemas.openxmlformats.org/officeDocument/2006/relationships" name="সেপ্টেম্বর ২০২৬" sheetId="15" state="visible" r:id="rId15"/>
    <sheet xmlns:r="http://schemas.openxmlformats.org/officeDocument/2006/relationships" name="অক্টোবর ২০২৬" sheetId="16" state="visible" r:id="rId16"/>
    <sheet xmlns:r="http://schemas.openxmlformats.org/officeDocument/2006/relationships" name="নভেম্বর ২০২৬" sheetId="17" state="visible" r:id="rId17"/>
    <sheet xmlns:r="http://schemas.openxmlformats.org/officeDocument/2006/relationships" name="ডিসেম্বর ২০২৬" sheetId="18" state="visible" r:id="rId18"/>
  </sheets>
  <definedNames>
    <definedName name="CategoryList" hidden="0" function="0" vbProcedure="0">সেটিংস!$B$2:$B$55</definedName>
    <definedName name="GroupList" hidden="0" function="0" vbProcedure="0">সেটিংস!$E$2:$E$9</definedName>
    <definedName name="GroupLookup" hidden="0" function="0" vbProcedure="0">সেটিংস!$C$2:$C$55</definedName>
    <definedName name="PaymentList" hidden="0" function="0" vbProcedure="0">সেটিংস!$G$2:$G$7</definedName>
    <definedName name="MonthTabs">সেটিংস!$I$2:$I$13</definedName>
    <definedName name="_xlnm._FilterDatabase" localSheetId="6" hidden="1">'জানুয়ারি ২০২৬'!$A$3:$G$203</definedName>
    <definedName name="_xlnm._FilterDatabase" localSheetId="7" hidden="1">'ফেব্রুয়ারি ২০২৬'!$A$3:$G$203</definedName>
    <definedName name="_xlnm._FilterDatabase" localSheetId="8" hidden="1">'মার্চ ২০২৬'!$A$3:$G$203</definedName>
    <definedName name="_xlnm._FilterDatabase" localSheetId="9" hidden="1">'এপ্রিল ২০২৬'!$A$3:$G$203</definedName>
    <definedName name="_xlnm._FilterDatabase" localSheetId="10" hidden="1">'মে ২০২৬'!$A$3:$G$203</definedName>
    <definedName name="_xlnm._FilterDatabase" localSheetId="11" hidden="1">'জুন ২০২৬'!$A$3:$G$203</definedName>
    <definedName name="_xlnm._FilterDatabase" localSheetId="12" hidden="1">'জুলাই ২০২৬'!$A$3:$G$203</definedName>
    <definedName name="_xlnm._FilterDatabase" localSheetId="13" hidden="1">'আগস্ট ২০২৬'!$A$3:$G$203</definedName>
    <definedName name="_xlnm._FilterDatabase" localSheetId="14" hidden="1">'সেপ্টেম্বর ২০২৬'!$A$3:$G$203</definedName>
    <definedName name="_xlnm._FilterDatabase" localSheetId="15" hidden="1">'অক্টোবর ২০২৬'!$A$3:$G$203</definedName>
    <definedName name="_xlnm._FilterDatabase" localSheetId="16" hidden="1">'নভেম্বর ২০২৬'!$A$3:$G$203</definedName>
    <definedName name="_xlnm._FilterDatabase" localSheetId="17" hidden="1">'ডিসেম্বর ২০২৬'!$A$3:$G$203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&quot;৳ &quot;#,##0;[RED]&quot;-৳ &quot;#,##0;\–"/>
    <numFmt numFmtId="165" formatCode="dd/mm/yyyy"/>
    <numFmt numFmtId="166" formatCode="&quot;৳ &quot;#,##0.00;[RED]&quot;-৳ &quot;#,##0.00;\–"/>
    <numFmt numFmtId="167" formatCode="0.0%;\-0.0%;\–"/>
    <numFmt numFmtId="168" formatCode="#,##0;\-#,##0;\–"/>
  </numFmts>
  <fonts count="38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irmala UI"/>
      <charset val="1"/>
      <family val="0"/>
      <b val="1"/>
      <color rgb="FFFFFFFF"/>
      <sz val="16"/>
    </font>
    <font>
      <name val="Nirmala UI"/>
      <charset val="1"/>
      <family val="0"/>
      <b val="1"/>
      <color rgb="FF1F3864"/>
      <sz val="11"/>
    </font>
    <font>
      <name val="Nirmala UI"/>
      <charset val="1"/>
      <family val="0"/>
      <color rgb="FF000000"/>
      <sz val="11"/>
    </font>
    <font>
      <name val="Nirmala UI"/>
      <charset val="1"/>
      <family val="0"/>
      <b val="1"/>
      <color rgb="FF595959"/>
      <sz val="11"/>
    </font>
    <font>
      <name val="Nirmala UI"/>
      <charset val="1"/>
      <family val="0"/>
      <i val="1"/>
      <color rgb="FF595959"/>
      <sz val="11"/>
    </font>
    <font>
      <name val="Nirmala UI"/>
      <charset val="1"/>
      <family val="0"/>
      <i val="1"/>
      <color rgb="FF595959"/>
      <sz val="9"/>
    </font>
    <font>
      <name val="Nirmala UI"/>
      <charset val="1"/>
      <family val="0"/>
      <b val="1"/>
      <color rgb="FFFFFFFF"/>
      <sz val="10"/>
    </font>
    <font>
      <name val="Nirmala UI"/>
      <charset val="1"/>
      <family val="0"/>
      <b val="1"/>
      <color rgb="FF1F3864"/>
      <sz val="14"/>
    </font>
    <font>
      <name val="Nirmala UI"/>
      <charset val="1"/>
      <family val="0"/>
      <b val="1"/>
      <color rgb="FFFFFFFF"/>
      <sz val="13"/>
    </font>
    <font>
      <name val="Nirmala UI"/>
      <charset val="1"/>
      <family val="0"/>
      <b val="1"/>
      <color rgb="FFFFFFFF"/>
      <sz val="11"/>
    </font>
    <font>
      <name val="Nirmala UI"/>
      <charset val="1"/>
      <family val="0"/>
      <b val="1"/>
      <color rgb="FF000000"/>
      <sz val="11"/>
    </font>
    <font>
      <name val="Nirmala UI"/>
      <charset val="1"/>
      <family val="0"/>
      <color rgb="FF2E7D32"/>
      <sz val="11"/>
    </font>
    <font>
      <name val="Nirmala UI"/>
      <charset val="1"/>
      <family val="0"/>
      <i val="1"/>
      <sz val="10"/>
    </font>
    <font>
      <name val="Calibri"/>
      <family val="2"/>
      <color rgb="FF757575"/>
      <sz val="13"/>
    </font>
    <font>
      <name val="Arial"/>
      <family val="2"/>
      <color rgb="FF757575"/>
      <sz val="13"/>
    </font>
    <font>
      <name val="Calibri"/>
      <family val="2"/>
      <color rgb="FF000000"/>
      <sz val="10"/>
    </font>
    <font>
      <name val="Calibri"/>
      <family val="2"/>
      <color rgb="FF000000"/>
      <sz val="13"/>
    </font>
    <font>
      <name val="Nirmala UI"/>
      <charset val="1"/>
      <family val="0"/>
      <b val="1"/>
      <color rgb="FFFFFFFF"/>
      <sz val="15"/>
    </font>
    <font>
      <name val="Nirmala UI"/>
      <charset val="1"/>
      <family val="0"/>
      <i val="1"/>
      <color rgb="FF404040"/>
      <sz val="11"/>
    </font>
    <font>
      <name val="Arial"/>
      <charset val="1"/>
      <family val="0"/>
      <color rgb="FF000000"/>
      <sz val="11"/>
    </font>
    <font>
      <name val="Nirmala UI"/>
      <charset val="1"/>
      <family val="0"/>
      <b val="1"/>
      <color rgb="FFFFFFFF"/>
      <sz val="12"/>
    </font>
    <font>
      <name val="Nirmala UI"/>
      <b val="1"/>
      <color rgb="FFFFFFFF"/>
      <sz val="11"/>
    </font>
    <font>
      <name val="Nirmala UI"/>
      <color rgb="FF000000"/>
      <sz val="11"/>
    </font>
    <font>
      <name val="Nirmala UI"/>
      <b val="1"/>
      <color rgb="FFFFFFFF"/>
      <sz val="15"/>
    </font>
    <font>
      <name val="Nirmala UI"/>
      <b val="1"/>
      <color rgb="FFFFFFFF"/>
      <sz val="13"/>
    </font>
    <font>
      <name val="Nirmala UI"/>
      <i val="1"/>
      <color rgb="FF595959"/>
      <sz val="9"/>
    </font>
    <font>
      <name val="Arial"/>
      <color rgb="FF000000"/>
      <sz val="11"/>
    </font>
    <font>
      <name val="Nirmala UI"/>
      <i val="1"/>
      <color rgb="FF404040"/>
      <sz val="11"/>
    </font>
    <font>
      <name val="Nirmala UI"/>
      <b val="1"/>
      <color rgb="FF1F3864"/>
      <sz val="11"/>
    </font>
    <font>
      <name val="Nirmala UI"/>
      <b val="1"/>
      <color rgb="FF000000"/>
      <sz val="11"/>
    </font>
    <font>
      <name val="Arial"/>
      <b val="1"/>
      <color rgb="FF000000"/>
      <sz val="11"/>
    </font>
    <font>
      <name val="Nirmala UI"/>
      <b val="1"/>
      <color rgb="FF9C0006"/>
      <sz val="10"/>
    </font>
    <font>
      <name val="Arial"/>
      <i val="1"/>
      <color rgb="FF404040"/>
      <sz val="11"/>
    </font>
    <font>
      <name val="Nirmala UI"/>
      <i val="1"/>
      <color rgb="FFFFFFFF"/>
      <sz val="10"/>
    </font>
  </fonts>
  <fills count="13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CE6F1"/>
        <bgColor rgb="FFD9D9D9"/>
      </patternFill>
    </fill>
    <fill>
      <patternFill patternType="solid">
        <fgColor rgb="FFFFFFFF"/>
        <bgColor rgb="FFF5F5F5"/>
      </patternFill>
    </fill>
    <fill>
      <patternFill patternType="solid">
        <fgColor rgb="FFF2F6FB"/>
        <bgColor rgb="FFF5F5F5"/>
      </patternFill>
    </fill>
    <fill>
      <patternFill patternType="solid">
        <fgColor rgb="FF2E5C99"/>
        <bgColor rgb="FF4672A8"/>
      </patternFill>
    </fill>
    <fill>
      <patternFill patternType="solid">
        <fgColor rgb="FFF5F5F5"/>
        <bgColor rgb="FFF2F6FB"/>
      </patternFill>
    </fill>
    <fill>
      <patternFill patternType="solid">
        <fgColor rgb="FF2E5C99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F2F6FB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164" fontId="15" fillId="4" borderId="1" applyAlignment="1" pivotButton="0" quotePrefix="0" xfId="0">
      <alignment horizontal="right" vertical="center"/>
    </xf>
    <xf numFmtId="164" fontId="14" fillId="3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164" fontId="15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164" fontId="13" fillId="2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left" vertical="center"/>
    </xf>
    <xf numFmtId="166" fontId="6" fillId="4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/>
    </xf>
    <xf numFmtId="166" fontId="23" fillId="5" borderId="1" applyAlignment="1" pivotButton="0" quotePrefix="0" xfId="0">
      <alignment horizontal="right" vertical="center"/>
    </xf>
    <xf numFmtId="166" fontId="13" fillId="2" borderId="1" applyAlignment="1" pivotButton="0" quotePrefix="0" xfId="0">
      <alignment horizontal="right" vertical="center"/>
    </xf>
    <xf numFmtId="167" fontId="13" fillId="2" borderId="1" applyAlignment="1" pivotButton="0" quotePrefix="0" xfId="0">
      <alignment horizontal="center" vertical="center"/>
    </xf>
    <xf numFmtId="0" fontId="24" fillId="6" borderId="0" applyAlignment="1" pivotButton="0" quotePrefix="0" xfId="0">
      <alignment horizontal="center" vertical="center"/>
    </xf>
    <xf numFmtId="168" fontId="5" fillId="4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65" fontId="23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/>
    </xf>
    <xf numFmtId="166" fontId="23" fillId="4" borderId="1" applyAlignment="1" pivotButton="0" quotePrefix="0" xfId="0">
      <alignment horizontal="right" vertical="center"/>
    </xf>
    <xf numFmtId="165" fontId="23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164" fontId="15" fillId="4" borderId="1" applyAlignment="1" pivotButton="0" quotePrefix="0" xfId="0">
      <alignment horizontal="right" vertical="center"/>
    </xf>
    <xf numFmtId="164" fontId="14" fillId="3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164" fontId="15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164" fontId="13" fillId="2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27" fillId="10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0" fontId="25" fillId="8" borderId="6" applyAlignment="1" pivotButton="0" quotePrefix="0" xfId="0">
      <alignment horizontal="center" vertical="center" wrapText="1"/>
    </xf>
    <xf numFmtId="165" fontId="30" fillId="9" borderId="6" applyAlignment="1" pivotButton="0" quotePrefix="0" xfId="0">
      <alignment horizontal="center" vertical="center"/>
    </xf>
    <xf numFmtId="0" fontId="26" fillId="9" borderId="6" applyAlignment="1" pivotButton="0" quotePrefix="0" xfId="0">
      <alignment horizontal="left" vertical="center"/>
    </xf>
    <xf numFmtId="166" fontId="30" fillId="9" borderId="6" applyAlignment="1" pivotButton="0" quotePrefix="0" xfId="0">
      <alignment horizontal="right" vertical="center"/>
    </xf>
    <xf numFmtId="0" fontId="31" fillId="11" borderId="6" applyAlignment="1" pivotButton="0" quotePrefix="0" xfId="0">
      <alignment horizontal="center" vertical="center"/>
    </xf>
    <xf numFmtId="0" fontId="32" fillId="12" borderId="6" applyAlignment="1" pivotButton="0" quotePrefix="0" xfId="0">
      <alignment horizontal="left" vertical="center"/>
    </xf>
    <xf numFmtId="166" fontId="32" fillId="12" borderId="6" applyAlignment="1" pivotButton="0" quotePrefix="0" xfId="0">
      <alignment horizontal="right" vertical="center"/>
    </xf>
    <xf numFmtId="0" fontId="25" fillId="10" borderId="6" applyAlignment="1" pivotButton="0" quotePrefix="0" xfId="0">
      <alignment horizontal="left" vertical="center"/>
    </xf>
    <xf numFmtId="166" fontId="25" fillId="10" borderId="6" applyAlignment="1" pivotButton="0" quotePrefix="0" xfId="0">
      <alignment horizontal="right" vertical="center"/>
    </xf>
    <xf numFmtId="168" fontId="32" fillId="12" borderId="6" applyAlignment="1" pivotButton="0" quotePrefix="0" xfId="0">
      <alignment horizontal="right" vertical="center"/>
    </xf>
    <xf numFmtId="0" fontId="25" fillId="10" borderId="6" applyAlignment="1" pivotButton="0" quotePrefix="0" xfId="0">
      <alignment horizontal="center" vertical="center"/>
    </xf>
    <xf numFmtId="0" fontId="33" fillId="9" borderId="6" applyAlignment="1" pivotButton="0" quotePrefix="0" xfId="0">
      <alignment horizontal="center" vertical="center"/>
    </xf>
    <xf numFmtId="166" fontId="34" fillId="9" borderId="6" applyAlignment="1" pivotButton="0" quotePrefix="0" xfId="0">
      <alignment horizontal="right" vertical="center"/>
    </xf>
    <xf numFmtId="0" fontId="35" fillId="0" borderId="0" applyAlignment="1" pivotButton="0" quotePrefix="0" xfId="0">
      <alignment horizontal="left" vertical="center"/>
    </xf>
    <xf numFmtId="166" fontId="36" fillId="11" borderId="6" applyAlignment="1" pivotButton="0" quotePrefix="0" xfId="0">
      <alignment horizontal="right" vertical="center"/>
    </xf>
    <xf numFmtId="167" fontId="31" fillId="11" borderId="6" applyAlignment="1" pivotButton="0" quotePrefix="0" xfId="0">
      <alignment horizontal="center" vertical="center"/>
    </xf>
    <xf numFmtId="167" fontId="25" fillId="10" borderId="6" applyAlignment="1" pivotButton="0" quotePrefix="0" xfId="0">
      <alignment horizontal="center" vertical="center"/>
    </xf>
    <xf numFmtId="0" fontId="37" fillId="10" borderId="6" applyAlignment="1" pivotButton="0" quotePrefix="0" xfId="0">
      <alignment horizontal="left" vertical="center"/>
    </xf>
    <xf numFmtId="0" fontId="31" fillId="11" borderId="6" applyAlignment="1" pivotButton="0" quotePrefix="0" xfId="0">
      <alignment horizontal="left" vertical="center"/>
    </xf>
    <xf numFmtId="0" fontId="26" fillId="9" borderId="6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5" fillId="8" borderId="6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left" vertical="center"/>
    </xf>
    <xf numFmtId="166" fontId="6" fillId="4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/>
    </xf>
    <xf numFmtId="166" fontId="23" fillId="5" borderId="1" applyAlignment="1" pivotButton="0" quotePrefix="0" xfId="0">
      <alignment horizontal="right" vertical="center"/>
    </xf>
    <xf numFmtId="166" fontId="13" fillId="2" borderId="1" applyAlignment="1" pivotButton="0" quotePrefix="0" xfId="0">
      <alignment horizontal="right" vertical="center"/>
    </xf>
    <xf numFmtId="167" fontId="13" fillId="2" borderId="1" applyAlignment="1" pivotButton="0" quotePrefix="0" xfId="0">
      <alignment horizontal="center" vertical="center"/>
    </xf>
    <xf numFmtId="0" fontId="24" fillId="6" borderId="0" applyAlignment="1" pivotButton="0" quotePrefix="0" xfId="0">
      <alignment horizontal="center" vertical="center"/>
    </xf>
    <xf numFmtId="168" fontId="5" fillId="4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65" fontId="23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/>
    </xf>
    <xf numFmtId="166" fontId="23" fillId="4" borderId="1" applyAlignment="1" pivotButton="0" quotePrefix="0" xfId="0">
      <alignment horizontal="right" vertical="center"/>
    </xf>
    <xf numFmtId="165" fontId="23" fillId="5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ont>
        <name val="Nirmala UI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2E5C99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E7D32"/>
      <rgbColor rgb="FF000080"/>
      <rgbColor rgb="FF757575"/>
      <rgbColor rgb="FF800080"/>
      <rgbColor rgb="FF4F81BD"/>
      <rgbColor rgb="FFBFBFBF"/>
      <rgbColor rgb="FF7F7F7F"/>
      <rgbColor rgb="FF93A9CE"/>
      <rgbColor rgb="FFAB4744"/>
      <rgbColor rgb="FFF5F5F5"/>
      <rgbColor rgb="FFDCE6F1"/>
      <rgbColor rgb="FF660066"/>
      <rgbColor rgb="FFDC853E"/>
      <rgbColor rgb="FF2E5C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B"/>
      <rgbColor rgb="FFCCFFCC"/>
      <rgbColor rgb="FFFFFF99"/>
      <rgbColor rgb="FFB7B7B7"/>
      <rgbColor rgb="FFD09493"/>
      <rgbColor rgb="FFCC99FF"/>
      <rgbColor rgb="FFFFC7CE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1F3864"/>
      <rgbColor rgb="FF4299B0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 spc="-1">
                <a:solidFill>
                  <a:srgbClr val="757575"/>
                </a:solidFill>
                <a:latin typeface="Arial"/>
                <a:ea typeface="Calibri"/>
              </a:defRPr>
            </a:pPr>
            <a:r>
              <a:rPr sz="1300" b="0" strike="noStrike" spc="-1">
                <a:solidFill>
                  <a:srgbClr val="757575"/>
                </a:solidFill>
                <a:latin typeface="Arial"/>
                <a:ea typeface="Calibri"/>
              </a:rPr>
              <a:t>মাসভিত্তিক মোট ব্যয় (৳)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'বার্ষিক সারসংক্ষেপ'!$B$8:$M$8</f>
              <strCache>
                <ptCount val="12"/>
                <pt idx="0">
                  <v>জানুয়ারি</v>
                </pt>
                <pt idx="1">
                  <v>ফেব্রুয়ারি</v>
                </pt>
                <pt idx="2">
                  <v>মার্চ</v>
                </pt>
                <pt idx="3">
                  <v>এপ্রিল</v>
                </pt>
                <pt idx="4">
                  <v>মে</v>
                </pt>
                <pt idx="5">
                  <v>জুন</v>
                </pt>
                <pt idx="6">
                  <v>জুলাই</v>
                </pt>
                <pt idx="7">
                  <v>আগস্ট</v>
                </pt>
                <pt idx="8">
                  <v>সেপ্টেম্বর</v>
                </pt>
                <pt idx="9">
                  <v>অক্টোবর</v>
                </pt>
                <pt idx="10">
                  <v>নভেম্বর</v>
                </pt>
                <pt idx="11">
                  <v>ডিসেম্বর</v>
                </pt>
              </strCache>
            </strRef>
          </cat>
          <val>
            <numRef>
              <f>'বার্ষিক সারসংক্ষেপ'!$B$18:$M$18</f>
              <numCache>
                <formatCode>"৳ "#,##0;[RED]"-৳ "#,##0;\–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45356</v>
                </pt>
                <pt idx="8">
                  <v>8694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gapWidth val="150"/>
        <overlap val="0"/>
        <axId val="34252461"/>
        <axId val="29540327"/>
      </barChart>
      <catAx>
        <axId val="3425246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rPr sz="1300" b="0" strike="noStrike" spc="-1">
                    <a:solidFill>
                      <a:srgbClr val="000000"/>
                    </a:solidFill>
                    <a:latin typeface="Arial"/>
                    <a:ea typeface="Calibri"/>
                  </a:rPr>
                  <a:t>মাস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29540327"/>
        <crosses val="autoZero"/>
        <auto val="1"/>
        <lblAlgn val="ctr"/>
        <lblOffset val="100"/>
        <noMultiLvlLbl val="0"/>
      </catAx>
      <valAx>
        <axId val="29540327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b7b7b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rPr sz="1300" b="0" strike="noStrike" spc="-1">
                    <a:solidFill>
                      <a:srgbClr val="000000"/>
                    </a:solidFill>
                    <a:latin typeface="Arial"/>
                    <a:ea typeface="Calibri"/>
                  </a:rPr>
                  <a:t>টাকা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3425246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 spc="-1">
                <a:solidFill>
                  <a:srgbClr val="757575"/>
                </a:solidFill>
                <a:latin typeface="Arial"/>
                <a:ea typeface="Calibri"/>
              </a:defRPr>
            </a:pPr>
            <a:r>
              <a:rPr sz="1300" b="0" strike="noStrike" spc="-1">
                <a:solidFill>
                  <a:srgbClr val="757575"/>
                </a:solidFill>
                <a:latin typeface="Arial"/>
                <a:ea typeface="Calibri"/>
              </a:rPr>
              <a:t>গ্রুপভিত্তিক ব্যয়ের অনুপাত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672a8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b474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aa64f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2599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299b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c853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3a9c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09493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'বার্ষিক সারসংক্ষেপ'!$A$10:$A$17</f>
              <strCache>
                <ptCount val="8"/>
                <pt idx="0">
                  <v>খাদ্য ও মুদি</v>
                </pt>
                <pt idx="1">
                  <v>বাসস্থান</v>
                </pt>
                <pt idx="2">
                  <v>ইউটিলিটি বিল</v>
                </pt>
                <pt idx="3">
                  <v>যাতায়াত</v>
                </pt>
                <pt idx="4">
                  <v>স্বাস্থ্য</v>
                </pt>
                <pt idx="5">
                  <v>শিক্ষা</v>
                </pt>
                <pt idx="6">
                  <v>ব্যক্তিগত ও গৃহস্থালি</v>
                </pt>
                <pt idx="7">
                  <v>অন্যান্য</v>
                </pt>
              </strCache>
            </strRef>
          </cat>
          <val>
            <numRef>
              <f>'বার্ষিক সারসংক্ষেপ'!$N$10:$N$17</f>
              <numCache>
                <formatCode>"৳ "#,##0;[RED]"-৳ "#,##0;\–</formatCode>
                <ptCount val="8"/>
                <pt idx="0">
                  <v>24937</v>
                </pt>
                <pt idx="1">
                  <v>8400</v>
                </pt>
                <pt idx="2">
                  <v>5080</v>
                </pt>
                <pt idx="3">
                  <v>960</v>
                </pt>
                <pt idx="4">
                  <v>6555</v>
                </pt>
                <pt idx="5">
                  <v>0</v>
                </pt>
                <pt idx="6">
                  <v>2011</v>
                </pt>
                <pt idx="7">
                  <v>6107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19</row>
      <rowOff>0</rowOff>
    </from>
    <to>
      <col>5</col>
      <colOff>443520</colOff>
      <row>35</row>
      <rowOff>18360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9</col>
      <colOff>0</colOff>
      <row>19</row>
      <rowOff>0</rowOff>
    </from>
    <to>
      <col>12</col>
      <colOff>782280</colOff>
      <row>35</row>
      <rowOff>18360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7F7F7F"/>
    <outlinePr summaryBelow="1" summaryRight="1"/>
    <pageSetUpPr fitToPage="0"/>
  </sheetPr>
  <dimension ref="B2:C2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4" customWidth="1" style="51" min="1" max="1"/>
    <col width="34" customWidth="1" style="51" min="2" max="2"/>
    <col width="78" customWidth="1" style="51" min="3" max="3"/>
    <col width="8.710000000000001" customWidth="1" style="51" min="4" max="26"/>
  </cols>
  <sheetData>
    <row r="2" ht="25.5" customHeight="1" s="52">
      <c r="B2" s="53" t="inlineStr">
        <is>
          <t>দৈনিক খরচের হিসাব ২০২৬  —  ব্যবহার নির্দেশিকা</t>
        </is>
      </c>
    </row>
    <row r="4" ht="31.5" customHeight="1" s="52">
      <c r="B4" s="54" t="inlineStr">
        <is>
          <t>এই ফাইলে কী আছে</t>
        </is>
      </c>
      <c r="C4" s="55" t="inlineStr">
        <is>
          <t>১৮টি শিট: এই নির্দেশিকা, একটি বার্ষিক সারসংক্ষেপ, তিনটি লেজার শিট (ধার-দেনা, বাজেট, পুনরাবৃত্ত খরচ), ১২টি মাসিক শিট (জানুয়ারি–ডিসেম্বর ২০২৬) এবং একটি সেটিংস শিট।</t>
        </is>
      </c>
    </row>
    <row r="5" ht="31.5" customHeight="1" s="52">
      <c r="B5" s="54" t="inlineStr">
        <is>
          <t>কোথায় লিখবেন</t>
        </is>
      </c>
      <c r="C5" s="56" t="inlineStr">
        <is>
          <t>মাসিক শিটের A থেকে G কলামে (৪–২০৩ সারি), এবং তিনটি লেজার শিটে। ধূসর ও ইটালিক ঘরগুলো সূত্র — সেখানে কিছু লিখবেন না।</t>
        </is>
      </c>
    </row>
    <row r="6" ht="31.5" customHeight="1" s="52">
      <c r="B6" s="54" t="inlineStr">
        <is>
          <t>তারিখ (কলাম A)</t>
        </is>
      </c>
      <c r="C6" s="55" t="inlineStr">
        <is>
          <t>DD/MM/YYYY আকারে লিখুন, যেমন ০৫/০১/২০২৬। মাসের বাইরের তারিখ দিলে সতর্কবার্তা আসবে — চাইলে রেখে দেওয়া যাবে।</t>
        </is>
      </c>
    </row>
    <row r="7" ht="31.5" customHeight="1" s="52">
      <c r="B7" s="54" t="inlineStr">
        <is>
          <t>বিবরণ (কলাম B)</t>
        </is>
      </c>
      <c r="C7" s="56" t="inlineStr">
        <is>
          <t>খরচের সংক্ষিপ্ত বর্ণনা, যেমন ‘৫ কেজি মিনিকেট চাল’।</t>
        </is>
      </c>
    </row>
    <row r="8" ht="31.5" customHeight="1" s="52">
      <c r="B8" s="54" t="inlineStr">
        <is>
          <t>খাত (কলাম C)</t>
        </is>
      </c>
      <c r="C8" s="55" t="inlineStr">
        <is>
          <t>ড্রপ-ডাউন থেকে নির্বাচন করুন। মোট ৫৪টি খাত ৮টি গ্রুপে সাজানো — চাল, ডাল, মাছ, বাড়ি ভাড়া, বিদ্যুৎ বিল ইত্যাদি। তালিকার বাইরের খাত লেখা যাবে না; নতুন খাত দরকার হলে ‘সেটিংস’ শিটে যোগ করুন।</t>
        </is>
      </c>
    </row>
    <row r="9" ht="31.5" customHeight="1" s="52">
      <c r="B9" s="54" t="inlineStr">
        <is>
          <t>গ্রুপ (কলাম D)</t>
        </is>
      </c>
      <c r="C9" s="56" t="inlineStr">
        <is>
          <t>স্বয়ংক্রিয়ভাবে পূরণ হয় — এখানে কিছু লিখবেন না।</t>
        </is>
      </c>
    </row>
    <row r="10" ht="31.5" customHeight="1" s="52">
      <c r="B10" s="54" t="inlineStr">
        <is>
          <t>পরিমাণ (কলাম E)</t>
        </is>
      </c>
      <c r="C10" s="55" t="inlineStr">
        <is>
          <t>শুধু সংখ্যা লিখুন, টাকার চিহ্ন নিজে থেকে বসবে। ঋণাত্মক সংখ্যা গ্রহণযোগ্য নয়।</t>
        </is>
      </c>
    </row>
    <row r="11" ht="31.5" customHeight="1" s="52">
      <c r="B11" s="54" t="inlineStr">
        <is>
          <t>পেমেন্ট মাধ্যম (কলাম F)</t>
        </is>
      </c>
      <c r="C11" s="56" t="inlineStr">
        <is>
          <t>ড্রপ-ডাউন — নগদ টাকা, বিকাশ, নগদ (অ্যাপ), রকেট, কার্ড, ব্যাংক ট্রান্সফার।</t>
        </is>
      </c>
    </row>
    <row r="12" ht="31.5" customHeight="1" s="52">
      <c r="B12" s="54" t="inlineStr">
        <is>
          <t>মন্তব্য (কলাম G)</t>
        </is>
      </c>
      <c r="C12" s="55" t="inlineStr">
        <is>
          <t>ঐচ্ছিক — দোকানের নাম, রসিদ নম্বর ইত্যাদি।</t>
        </is>
      </c>
    </row>
    <row r="13" ht="31.5" customHeight="1" s="52">
      <c r="B13" s="54" t="inlineStr">
        <is>
          <t>মাসিক সারসংক্ষেপ</t>
        </is>
      </c>
      <c r="C13" s="56" t="inlineStr">
        <is>
          <t>প্রতিটি মাসিক শিটের ডান পাশে (I–K কলাম) গ্রুপভিত্তিক মোট, শতাংশ, দৈনিক গড় ও খাতভিত্তিক বিস্তারিত হিসাব স্বয়ংক্রিয়ভাবে দেখা যাবে।</t>
        </is>
      </c>
    </row>
    <row r="14" ht="31.5" customHeight="1" s="52">
      <c r="B14" s="54" t="inlineStr">
        <is>
          <t>বার্ষিক সারসংক্ষেপ</t>
        </is>
      </c>
      <c r="C14" s="55" t="inlineStr">
        <is>
          <t>‘বার্ষিক সারসংক্ষেপ’ শিটে ১২ মাসের সব হিসাব একসাথে, দুটি চার্টসহ। এই শিটে হাতে কিছু লেখার দরকার নেই।</t>
        </is>
      </c>
    </row>
    <row r="15" ht="31.5" customHeight="1" s="52">
      <c r="B15" s="54" t="inlineStr">
        <is>
          <t>নতুন খাত যোগ করা</t>
        </is>
      </c>
      <c r="C15" s="56" t="inlineStr">
        <is>
          <t>‘সেটিংস’ শিটের B ও C কলামের তালিকার শেষে নতুন খাত ও তার গ্রুপ যোগ করুন, তারপর Formulas → Name Manager থেকে CategoryList ও GroupLookup নামের সীমা বাড়িয়ে দিন।</t>
        </is>
      </c>
    </row>
    <row r="16" ht="31.5" customHeight="1" s="52">
      <c r="B16" s="54" t="inlineStr">
        <is>
          <t>সারি বাড়ানো</t>
        </is>
      </c>
      <c r="C16" s="55" t="inlineStr">
        <is>
          <t>প্রতি মাসে ২০০টি খরচের জায়গা আছে। আরও লাগলে ২০৩ নম্বর সারির উপরে নতুন সারি যোগ করুন — সব সূত্র নিজে থেকে ঠিক হয়ে যাবে।</t>
        </is>
      </c>
    </row>
    <row r="17" ht="31.5" customHeight="1" s="52">
      <c r="B17" s="54" t="inlineStr">
        <is>
          <t>যাচাই ব্যবস্থা</t>
        </is>
      </c>
      <c r="C17" s="56" t="inlineStr">
        <is>
          <t>মাসিক শিটে ‘মোট মাসিক ব্যয়’ এখন সব পরিমাণের সরাসরি যোগফল। এর নিচে ‘শ্রেণিবিন্যাসহীন’ ঘরটি শূন্য না হলে বোঝা যাবে কোনো খরচ কোনো গ্রুপে পড়েনি — সেই সারিগুলো লালচে রঙে চিহ্নিত হবে। আগে এমন খরচ মোট থেকে চুপচাপ বাদ পড়ত।</t>
        </is>
      </c>
    </row>
    <row r="18" ht="31.5" customHeight="1" s="52">
      <c r="B18" s="54" t="inlineStr">
        <is>
          <t>ফন্ট</t>
        </is>
      </c>
      <c r="C18" s="55" t="inlineStr">
        <is>
          <t>সব লেখায় Nirmala UI ব্যবহার করা হয়েছে। বাংলা ঠিকভাবে না দেখালে Kalpurush বা SolaimanLipi ফন্ট বেছে নিন।</t>
        </is>
      </c>
    </row>
    <row r="20" ht="15" customHeight="1" s="52">
      <c r="B20" s="57" t="inlineStr">
        <is>
          <t>মুদ্রা</t>
        </is>
      </c>
      <c r="C20" s="58" t="inlineStr">
        <is>
          <t>বাংলাদেশি টাকা (৳)। ধারণা: সব অঙ্ক টাকায়, কোনো রূপান্তর ধরা হয়নি।</t>
        </is>
      </c>
    </row>
    <row r="21" ht="15.75" customHeight="1" s="52">
      <c r="B21" s="57" t="inlineStr">
        <is>
          <t>ক্যালেন্ডার</t>
        </is>
      </c>
      <c r="C21" s="58" t="inlineStr">
        <is>
          <t>গ্রেগরিয়ান ২০২৬ (জানুয়ারি–ডিসেম্বর); ২০২৬ অধিবর্ষ নয়, ফেব্রুয়ারি ২৮ দিন।</t>
        </is>
      </c>
    </row>
    <row r="22" ht="15.75" customHeight="1" s="52"/>
    <row r="23" ht="45" customHeight="1" s="52">
      <c r="B23" s="54" t="inlineStr">
        <is>
          <t>ধার-দেনা শিট</t>
        </is>
      </c>
      <c r="C23" s="56" t="inlineStr">
        <is>
          <t>কে কত পাবে, কে কত দেবে। ‘বাকি’ কলামে এখনো অপরিশোধিত অংশ থাকে — আংশিক পরিশোধ হলে অঙ্কটি কমে যায়, মূল ধারের পরিমাণ আলাদা করে রাখা হয় না। ‘পরিশোধের তারিখ’ ফাঁকা থাকলে ধারটি চলমান; ডান পাশের সারসংক্ষেপে পাবো, দেবো ও নিট অবস্থান আলাদা করে দেখা যায়।</t>
        </is>
      </c>
    </row>
    <row r="24" ht="45" customHeight="1" s="52">
      <c r="B24" s="54" t="inlineStr">
        <is>
          <t>বাজেট শিট</t>
        </is>
      </c>
      <c r="C24" s="56" t="inlineStr">
        <is>
          <t>উপরের ‘মাস’ ড্রপ-ডাউন যে মাসিক শিটকে দেখায়, সেই মাসের প্রকৃত খরচ খাত ধরে ধরে সীমার পাশে বসে। ৮০% ছুঁলে হলুদ, সীমা ছাড়ালে লাল। একদম নিচের ‘বাজেটবিহীন খাতে খরচ’ ঘরটি শূন্য না হলে বোঝা যাবে কোনো খাতে খরচ হচ্ছে যার কোনো সীমা ঠিক করা নেই।</t>
        </is>
      </c>
    </row>
    <row r="25" ht="45" customHeight="1" s="52">
      <c r="B25" s="54" t="inlineStr">
        <is>
          <t>পুনরাবৃত্ত খরচ শিট</t>
        </is>
      </c>
      <c r="C25" s="56" t="inlineStr">
        <is>
          <t>বাসা ভাড়া, বিদ্যুৎ বিলের মতো নিয়মিত খরচের নিয়ম — খরচ নয়, নিয়ম। ‘মাসিক সমমান’ কলাম প্রতিটি নিয়মকে মাসিক অঙ্কে দাঁড় করায় (দৈনিক ×৩০, সাপ্তাহিক ×৪.৩৩, বার্ষিক ÷১২), তাই ডান পাশে মোট মাসিক ও বার্ষিক প্রতিশ্রুতি এক নজরে দেখা যায়।</t>
        </is>
      </c>
    </row>
    <row r="26" ht="45" customHeight="1" s="52">
      <c r="B26" s="54" t="inlineStr">
        <is>
          <t>অ্যাপ থেকে সিঙ্ক</t>
        </is>
      </c>
      <c r="C26" s="56" t="inlineStr">
        <is>
          <t>‘পই পই হিসাব’ অ্যাপের সেটিংস থেকে সিঙ্ক করলে মাসিক শিটের খরচ এবং এই তিনটি লেজার শিট — তিনটিই সম্পূর্ণ নতুন করে লেখা হয়। একই সিঙ্ক বারবার করলে কিছু দ্বিগুণ হয় না। শিটে হাতে করা বদল পরের সিঙ্কে মুছে যাবে, তাই অ্যাপ চালু থাকলে বদলগুলো অ্যাপে করুন।</t>
        </is>
      </c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1">
    <mergeCell ref="B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N9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baseColWidth="8" defaultColWidth="14.43359375" defaultRowHeight="15" zeroHeight="0" outlineLevelRow="0"/>
  <cols>
    <col width="30" customWidth="1" style="51" min="1" max="1"/>
    <col width="14" customWidth="1" style="51" min="2" max="14"/>
    <col width="8.710000000000001" customWidth="1" style="51" min="15" max="26"/>
  </cols>
  <sheetData>
    <row r="1" ht="25.5" customHeight="1" s="52">
      <c r="A1" s="53" t="inlineStr">
        <is>
          <t>বার্ষিক খরচের সারসংক্ষেপ  —  ২০২৬</t>
        </is>
      </c>
    </row>
    <row r="2" ht="15" customHeight="1" s="52">
      <c r="A2" s="59" t="inlineStr">
        <is>
          <t>সব সংখ্যা মাসিক শিটগুলো থেকে স্বয়ংক্রিয়ভাবে আসে। এই শিটে কোনো কিছু হাতে লিখতে হবে না।</t>
        </is>
      </c>
    </row>
    <row r="4" ht="19.5" customHeight="1" s="52">
      <c r="A4" s="60" t="inlineStr">
        <is>
          <t>বার্ষিক মোট ব্যয়</t>
        </is>
      </c>
      <c r="B4" s="61" t="n"/>
      <c r="C4" s="62" t="n"/>
      <c r="D4" s="60" t="inlineStr">
        <is>
          <t>মাসিক গড় ব্যয়</t>
        </is>
      </c>
      <c r="E4" s="61" t="n"/>
      <c r="F4" s="62" t="n"/>
      <c r="G4" s="60" t="inlineStr">
        <is>
          <t>সর্বোচ্চ ব্যয়ের মাস</t>
        </is>
      </c>
      <c r="H4" s="61" t="n"/>
      <c r="I4" s="62" t="n"/>
      <c r="J4" s="60" t="inlineStr">
        <is>
          <t>সর্বোচ্চ ব্যয়ের গ্রুপ</t>
        </is>
      </c>
      <c r="K4" s="61" t="n"/>
      <c r="L4" s="62" t="n"/>
    </row>
    <row r="5" ht="30" customHeight="1" s="52">
      <c r="A5" s="63">
        <f>SUM($B$18:$M$18)</f>
        <v/>
      </c>
      <c r="B5" s="61" t="n"/>
      <c r="C5" s="62" t="n"/>
      <c r="D5" s="63">
        <f>IFERROR(AVERAGE($B$18:$M$18),0)</f>
        <v/>
      </c>
      <c r="E5" s="61" t="n"/>
      <c r="F5" s="62" t="n"/>
      <c r="G5" s="64">
        <f t="array" ref="G5:G5">IF(SUM($B$18:$M$18)=0,"–",IFERROR(INDEX($B$8:$M$8,MATCH(MAX($B$18:$M$18),$B$18:$M$18,0)),"–"))</f>
        <v/>
      </c>
      <c r="H5" s="61" t="n"/>
      <c r="I5" s="62" t="n"/>
      <c r="J5" s="64">
        <f t="array" ref="J5:J5">IF($N$18=0,"–",IFERROR(INDEX($A$10:$A$17,MATCH(MAX($N$10:$N$17),$N$10:$N$17,0)),"–"))</f>
        <v/>
      </c>
      <c r="K5" s="61" t="n"/>
      <c r="L5" s="62" t="n"/>
    </row>
    <row r="7" ht="25.5" customHeight="1" s="52">
      <c r="A7" s="65" t="inlineStr">
        <is>
          <t>গ্রুপভিত্তিক মাসিক ব্যয়</t>
        </is>
      </c>
    </row>
    <row r="8" ht="21.75" customHeight="1" s="52">
      <c r="A8" s="66" t="inlineStr">
        <is>
          <t>গ্রুপ / মাস</t>
        </is>
      </c>
      <c r="B8" s="66" t="inlineStr">
        <is>
          <t>জানুয়ারি</t>
        </is>
      </c>
      <c r="C8" s="66" t="inlineStr">
        <is>
          <t>ফেব্রুয়ারি</t>
        </is>
      </c>
      <c r="D8" s="66" t="inlineStr">
        <is>
          <t>মার্চ</t>
        </is>
      </c>
      <c r="E8" s="66" t="inlineStr">
        <is>
          <t>এপ্রিল</t>
        </is>
      </c>
      <c r="F8" s="66" t="inlineStr">
        <is>
          <t>মে</t>
        </is>
      </c>
      <c r="G8" s="66" t="inlineStr">
        <is>
          <t>জুন</t>
        </is>
      </c>
      <c r="H8" s="66" t="inlineStr">
        <is>
          <t>জুলাই</t>
        </is>
      </c>
      <c r="I8" s="66" t="inlineStr">
        <is>
          <t>আগস্ট</t>
        </is>
      </c>
      <c r="J8" s="66" t="inlineStr">
        <is>
          <t>সেপ্টেম্বর</t>
        </is>
      </c>
      <c r="K8" s="66" t="inlineStr">
        <is>
          <t>অক্টোবর</t>
        </is>
      </c>
      <c r="L8" s="66" t="inlineStr">
        <is>
          <t>নভেম্বর</t>
        </is>
      </c>
      <c r="M8" s="66" t="inlineStr">
        <is>
          <t>ডিসেম্বর</t>
        </is>
      </c>
      <c r="N8" s="66" t="inlineStr">
        <is>
          <t>বার্ষিক মোট</t>
        </is>
      </c>
    </row>
    <row r="10" ht="15" customHeight="1" s="52">
      <c r="A10" s="67" t="inlineStr">
        <is>
          <t>খাদ্য ও মুদি</t>
        </is>
      </c>
      <c r="B10" s="68">
        <f>'জানুয়ারি ২০২৬'!$J$4</f>
        <v/>
      </c>
      <c r="C10" s="68">
        <f>'ফেব্রুয়ারি ২০২৬'!$J$4</f>
        <v/>
      </c>
      <c r="D10" s="68">
        <f>'মার্চ ২০২৬'!$J$4</f>
        <v/>
      </c>
      <c r="E10" s="68">
        <f>'এপ্রিল ২০২৬'!$J$4</f>
        <v/>
      </c>
      <c r="F10" s="68">
        <f>'মে ২০২৬'!$J$4</f>
        <v/>
      </c>
      <c r="G10" s="68">
        <f>'জুন ২০২৬'!$J$4</f>
        <v/>
      </c>
      <c r="H10" s="68">
        <f>'জুলাই ২০২৬'!$J$4</f>
        <v/>
      </c>
      <c r="I10" s="68">
        <f>'আগস্ট ২০২৬'!$J$4</f>
        <v/>
      </c>
      <c r="J10" s="68">
        <f>'সেপ্টেম্বর ২০২৬'!$J$4</f>
        <v/>
      </c>
      <c r="K10" s="68">
        <f>'অক্টোবর ২০২৬'!$J$4</f>
        <v/>
      </c>
      <c r="L10" s="68">
        <f>'নভেম্বর ২০২৬'!$J$4</f>
        <v/>
      </c>
      <c r="M10" s="68">
        <f>'ডিসেম্বর ২০২৬'!$J$4</f>
        <v/>
      </c>
      <c r="N10" s="69">
        <f>SUM($B10:$M10)</f>
        <v/>
      </c>
    </row>
    <row r="11" ht="15" customHeight="1" s="52">
      <c r="A11" s="70" t="inlineStr">
        <is>
          <t>বাসস্থান</t>
        </is>
      </c>
      <c r="B11" s="71">
        <f>'জানুয়ারি ২০২৬'!$J$5</f>
        <v/>
      </c>
      <c r="C11" s="71">
        <f>'ফেব্রুয়ারি ২০২৬'!$J$5</f>
        <v/>
      </c>
      <c r="D11" s="71">
        <f>'মার্চ ২০২৬'!$J$5</f>
        <v/>
      </c>
      <c r="E11" s="71">
        <f>'এপ্রিল ২০২৬'!$J$5</f>
        <v/>
      </c>
      <c r="F11" s="71">
        <f>'মে ২০২৬'!$J$5</f>
        <v/>
      </c>
      <c r="G11" s="71">
        <f>'জুন ২০২৬'!$J$5</f>
        <v/>
      </c>
      <c r="H11" s="71">
        <f>'জুলাই ২০২৬'!$J$5</f>
        <v/>
      </c>
      <c r="I11" s="71">
        <f>'আগস্ট ২০২৬'!$J$5</f>
        <v/>
      </c>
      <c r="J11" s="71">
        <f>'সেপ্টেম্বর ২০২৬'!$J$5</f>
        <v/>
      </c>
      <c r="K11" s="71">
        <f>'অক্টোবর ২০২৬'!$J$5</f>
        <v/>
      </c>
      <c r="L11" s="71">
        <f>'নভেম্বর ২০২৬'!$J$5</f>
        <v/>
      </c>
      <c r="M11" s="71">
        <f>'ডিসেম্বর ২০২৬'!$J$5</f>
        <v/>
      </c>
      <c r="N11" s="69">
        <f>SUM($B11:$M11)</f>
        <v/>
      </c>
    </row>
    <row r="12" ht="15" customHeight="1" s="52">
      <c r="A12" s="67" t="inlineStr">
        <is>
          <t>ইউটিলিটি বিল</t>
        </is>
      </c>
      <c r="B12" s="68">
        <f>'জানুয়ারি ২০২৬'!$J$6</f>
        <v/>
      </c>
      <c r="C12" s="68">
        <f>'ফেব্রুয়ারি ২০২৬'!$J$6</f>
        <v/>
      </c>
      <c r="D12" s="68">
        <f>'মার্চ ২০২৬'!$J$6</f>
        <v/>
      </c>
      <c r="E12" s="68">
        <f>'এপ্রিল ২০২৬'!$J$6</f>
        <v/>
      </c>
      <c r="F12" s="68">
        <f>'মে ২০২৬'!$J$6</f>
        <v/>
      </c>
      <c r="G12" s="68">
        <f>'জুন ২০২৬'!$J$6</f>
        <v/>
      </c>
      <c r="H12" s="68">
        <f>'জুলাই ২০২৬'!$J$6</f>
        <v/>
      </c>
      <c r="I12" s="68">
        <f>'আগস্ট ২০২৬'!$J$6</f>
        <v/>
      </c>
      <c r="J12" s="68">
        <f>'সেপ্টেম্বর ২০২৬'!$J$6</f>
        <v/>
      </c>
      <c r="K12" s="68">
        <f>'অক্টোবর ২০২৬'!$J$6</f>
        <v/>
      </c>
      <c r="L12" s="68">
        <f>'নভেম্বর ২০২৬'!$J$6</f>
        <v/>
      </c>
      <c r="M12" s="68">
        <f>'ডিসেম্বর ২০২৬'!$J$6</f>
        <v/>
      </c>
      <c r="N12" s="69">
        <f>SUM($B12:$M12)</f>
        <v/>
      </c>
    </row>
    <row r="13" ht="15" customHeight="1" s="52">
      <c r="A13" s="70" t="inlineStr">
        <is>
          <t>যাতায়াত</t>
        </is>
      </c>
      <c r="B13" s="71">
        <f>'জানুয়ারি ২০২৬'!$J$7</f>
        <v/>
      </c>
      <c r="C13" s="71">
        <f>'ফেব্রুয়ারি ২০২৬'!$J$7</f>
        <v/>
      </c>
      <c r="D13" s="71">
        <f>'মার্চ ২০২৬'!$J$7</f>
        <v/>
      </c>
      <c r="E13" s="71">
        <f>'এপ্রিল ২০২৬'!$J$7</f>
        <v/>
      </c>
      <c r="F13" s="71">
        <f>'মে ২০২৬'!$J$7</f>
        <v/>
      </c>
      <c r="G13" s="71">
        <f>'জুন ২০২৬'!$J$7</f>
        <v/>
      </c>
      <c r="H13" s="71">
        <f>'জুলাই ২০২৬'!$J$7</f>
        <v/>
      </c>
      <c r="I13" s="71">
        <f>'আগস্ট ২০২৬'!$J$7</f>
        <v/>
      </c>
      <c r="J13" s="71">
        <f>'সেপ্টেম্বর ২০২৬'!$J$7</f>
        <v/>
      </c>
      <c r="K13" s="71">
        <f>'অক্টোবর ২০২৬'!$J$7</f>
        <v/>
      </c>
      <c r="L13" s="71">
        <f>'নভেম্বর ২০২৬'!$J$7</f>
        <v/>
      </c>
      <c r="M13" s="71">
        <f>'ডিসেম্বর ২০২৬'!$J$7</f>
        <v/>
      </c>
      <c r="N13" s="69">
        <f>SUM($B13:$M13)</f>
        <v/>
      </c>
    </row>
    <row r="14" ht="15" customHeight="1" s="52">
      <c r="A14" s="67" t="inlineStr">
        <is>
          <t>স্বাস্থ্য</t>
        </is>
      </c>
      <c r="B14" s="68">
        <f>'জানুয়ারি ২০২৬'!$J$8</f>
        <v/>
      </c>
      <c r="C14" s="68">
        <f>'ফেব্রুয়ারি ২০২৬'!$J$8</f>
        <v/>
      </c>
      <c r="D14" s="68">
        <f>'মার্চ ২০২৬'!$J$8</f>
        <v/>
      </c>
      <c r="E14" s="68">
        <f>'এপ্রিল ২০২৬'!$J$8</f>
        <v/>
      </c>
      <c r="F14" s="68">
        <f>'মে ২০২৬'!$J$8</f>
        <v/>
      </c>
      <c r="G14" s="68">
        <f>'জুন ২০২৬'!$J$8</f>
        <v/>
      </c>
      <c r="H14" s="68">
        <f>'জুলাই ২০২৬'!$J$8</f>
        <v/>
      </c>
      <c r="I14" s="68">
        <f>'আগস্ট ২০২৬'!$J$8</f>
        <v/>
      </c>
      <c r="J14" s="68">
        <f>'সেপ্টেম্বর ২০২৬'!$J$8</f>
        <v/>
      </c>
      <c r="K14" s="68">
        <f>'অক্টোবর ২০২৬'!$J$8</f>
        <v/>
      </c>
      <c r="L14" s="68">
        <f>'নভেম্বর ২০২৬'!$J$8</f>
        <v/>
      </c>
      <c r="M14" s="68">
        <f>'ডিসেম্বর ২০২৬'!$J$8</f>
        <v/>
      </c>
      <c r="N14" s="69">
        <f>SUM($B14:$M14)</f>
        <v/>
      </c>
    </row>
    <row r="15" ht="15" customHeight="1" s="52">
      <c r="A15" s="70" t="inlineStr">
        <is>
          <t>শিক্ষা</t>
        </is>
      </c>
      <c r="B15" s="71">
        <f>'জানুয়ারি ২০২৬'!$J$9</f>
        <v/>
      </c>
      <c r="C15" s="71">
        <f>'ফেব্রুয়ারি ২০২৬'!$J$9</f>
        <v/>
      </c>
      <c r="D15" s="71">
        <f>'মার্চ ২০২৬'!$J$9</f>
        <v/>
      </c>
      <c r="E15" s="71">
        <f>'এপ্রিল ২০২৬'!$J$9</f>
        <v/>
      </c>
      <c r="F15" s="71">
        <f>'মে ২০২৬'!$J$9</f>
        <v/>
      </c>
      <c r="G15" s="71">
        <f>'জুন ২০২৬'!$J$9</f>
        <v/>
      </c>
      <c r="H15" s="71">
        <f>'জুলাই ২০২৬'!$J$9</f>
        <v/>
      </c>
      <c r="I15" s="71">
        <f>'আগস্ট ২০২৬'!$J$9</f>
        <v/>
      </c>
      <c r="J15" s="71">
        <f>'সেপ্টেম্বর ২০২৬'!$J$9</f>
        <v/>
      </c>
      <c r="K15" s="71">
        <f>'অক্টোবর ২০২৬'!$J$9</f>
        <v/>
      </c>
      <c r="L15" s="71">
        <f>'নভেম্বর ২০২৬'!$J$9</f>
        <v/>
      </c>
      <c r="M15" s="71">
        <f>'ডিসেম্বর ২০২৬'!$J$9</f>
        <v/>
      </c>
      <c r="N15" s="69">
        <f>SUM($B15:$M15)</f>
        <v/>
      </c>
    </row>
    <row r="16" ht="15" customHeight="1" s="52">
      <c r="A16" s="67" t="inlineStr">
        <is>
          <t>ব্যক্তিগত ও গৃহস্থালি</t>
        </is>
      </c>
      <c r="B16" s="68">
        <f>'জানুয়ারি ২০২৬'!$J$10</f>
        <v/>
      </c>
      <c r="C16" s="68">
        <f>'ফেব্রুয়ারি ২০২৬'!$J$10</f>
        <v/>
      </c>
      <c r="D16" s="68">
        <f>'মার্চ ২০২৬'!$J$10</f>
        <v/>
      </c>
      <c r="E16" s="68">
        <f>'এপ্রিল ২০২৬'!$J$10</f>
        <v/>
      </c>
      <c r="F16" s="68">
        <f>'মে ২০২৬'!$J$10</f>
        <v/>
      </c>
      <c r="G16" s="68">
        <f>'জুন ২০২৬'!$J$10</f>
        <v/>
      </c>
      <c r="H16" s="68">
        <f>'জুলাই ২০২৬'!$J$10</f>
        <v/>
      </c>
      <c r="I16" s="68">
        <f>'আগস্ট ২০২৬'!$J$10</f>
        <v/>
      </c>
      <c r="J16" s="68">
        <f>'সেপ্টেম্বর ২০২৬'!$J$10</f>
        <v/>
      </c>
      <c r="K16" s="68">
        <f>'অক্টোবর ২০২৬'!$J$10</f>
        <v/>
      </c>
      <c r="L16" s="68">
        <f>'নভেম্বর ২০২৬'!$J$10</f>
        <v/>
      </c>
      <c r="M16" s="68">
        <f>'ডিসেম্বর ২০২৬'!$J$10</f>
        <v/>
      </c>
      <c r="N16" s="69">
        <f>SUM($B16:$M16)</f>
        <v/>
      </c>
    </row>
    <row r="17" ht="15" customHeight="1" s="52">
      <c r="A17" s="70" t="inlineStr">
        <is>
          <t>অন্যান্য</t>
        </is>
      </c>
      <c r="B17" s="71">
        <f>'জানুয়ারি ২০২৬'!$J$11</f>
        <v/>
      </c>
      <c r="C17" s="71">
        <f>'ফেব্রুয়ারি ২০২৬'!$J$11</f>
        <v/>
      </c>
      <c r="D17" s="71">
        <f>'মার্চ ২০২৬'!$J$11</f>
        <v/>
      </c>
      <c r="E17" s="71">
        <f>'এপ্রিল ২০২৬'!$J$11</f>
        <v/>
      </c>
      <c r="F17" s="71">
        <f>'মে ২০২৬'!$J$11</f>
        <v/>
      </c>
      <c r="G17" s="71">
        <f>'জুন ২০২৬'!$J$11</f>
        <v/>
      </c>
      <c r="H17" s="71">
        <f>'জুলাই ২০২৬'!$J$11</f>
        <v/>
      </c>
      <c r="I17" s="71">
        <f>'আগস্ট ২০২৬'!$J$11</f>
        <v/>
      </c>
      <c r="J17" s="71">
        <f>'সেপ্টেম্বর ২০২৬'!$J$11</f>
        <v/>
      </c>
      <c r="K17" s="71">
        <f>'অক্টোবর ২০২৬'!$J$11</f>
        <v/>
      </c>
      <c r="L17" s="71">
        <f>'নভেম্বর ২০২৬'!$J$11</f>
        <v/>
      </c>
      <c r="M17" s="71">
        <f>'ডিসেম্বর ২০২৬'!$J$11</f>
        <v/>
      </c>
      <c r="N17" s="69">
        <f>SUM($B17:$M17)</f>
        <v/>
      </c>
    </row>
    <row r="18" ht="15" customHeight="1" s="52">
      <c r="A18" s="72" t="inlineStr">
        <is>
          <t>মাসিক মোট</t>
        </is>
      </c>
      <c r="B18" s="73">
        <f>'জানুয়ারি ২০২৬'!$J$12</f>
        <v/>
      </c>
      <c r="C18" s="73">
        <f>'ফেব্রুয়ারি ২০২৬'!$J$12</f>
        <v/>
      </c>
      <c r="D18" s="73">
        <f>'মার্চ ২০২৬'!$J$12</f>
        <v/>
      </c>
      <c r="E18" s="73">
        <f>'এপ্রিল ২০২৬'!$J$12</f>
        <v/>
      </c>
      <c r="F18" s="73">
        <f>'মে ২০২৬'!$J$12</f>
        <v/>
      </c>
      <c r="G18" s="73">
        <f>'জুন ২০২৬'!$J$12</f>
        <v/>
      </c>
      <c r="H18" s="73">
        <f>'জুলাই ২০২৬'!$J$12</f>
        <v/>
      </c>
      <c r="I18" s="73">
        <f>'আগস্ট ২০২৬'!$J$12</f>
        <v/>
      </c>
      <c r="J18" s="73">
        <f>'সেপ্টেম্বর ২০২৬'!$J$12</f>
        <v/>
      </c>
      <c r="K18" s="73">
        <f>'অক্টোবর ২০২৬'!$J$12</f>
        <v/>
      </c>
      <c r="L18" s="73">
        <f>'নভেম্বর ২০২৬'!$J$12</f>
        <v/>
      </c>
      <c r="M18" s="73">
        <f>'ডিসেম্বর ২০২৬'!$J$12</f>
        <v/>
      </c>
      <c r="N18" s="73">
        <f>SUM($B$18:$M$18)</f>
        <v/>
      </c>
    </row>
    <row r="19" ht="15" customHeight="1" s="52">
      <c r="A19" s="74" t="inlineStr">
        <is>
          <t>শ্রেণিবিন্যাসহীন</t>
        </is>
      </c>
      <c r="B19" s="73">
        <f>'জানুয়ারি ২০২৬'!$J$13</f>
        <v/>
      </c>
      <c r="C19" s="73">
        <f>'ফেব্রুয়ারি ২০২৬'!$J$13</f>
        <v/>
      </c>
      <c r="D19" s="73">
        <f>'মার্চ ২০২৬'!$J$13</f>
        <v/>
      </c>
      <c r="E19" s="73">
        <f>'এপ্রিল ২০২৬'!$J$13</f>
        <v/>
      </c>
      <c r="F19" s="73">
        <f>'মে ২০২৬'!$J$13</f>
        <v/>
      </c>
      <c r="G19" s="73">
        <f>'জুন ২০২৬'!$J$13</f>
        <v/>
      </c>
      <c r="H19" s="73">
        <f>'জুলাই ২০২৬'!$J$13</f>
        <v/>
      </c>
      <c r="I19" s="73">
        <f>'আগস্ট ২০২৬'!$J$13</f>
        <v/>
      </c>
      <c r="J19" s="73">
        <f>'সেপ্টেম্বর ২০২৬'!$J$13</f>
        <v/>
      </c>
      <c r="K19" s="73">
        <f>'অক্টোবর ২০২৬'!$J$13</f>
        <v/>
      </c>
      <c r="L19" s="73">
        <f>'নভেম্বর ২০২৬'!$J$13</f>
        <v/>
      </c>
      <c r="M19" s="73">
        <f>'ডিসেম্বর ২০২৬'!$J$13</f>
        <v/>
      </c>
      <c r="N19" s="73">
        <f>SUM($B$19:$M$19)</f>
        <v/>
      </c>
    </row>
    <row r="21" ht="15.75" customHeight="1" s="52"/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25.5" customHeight="1" s="52">
      <c r="A40" s="65" t="inlineStr">
        <is>
          <t>খাতভিত্তিক মাসিক ব্যয় (বিস্তারিত)</t>
        </is>
      </c>
    </row>
    <row r="41" ht="21.75" customHeight="1" s="52">
      <c r="A41" s="66" t="inlineStr">
        <is>
          <t>খাত / মাস</t>
        </is>
      </c>
      <c r="B41" s="66" t="inlineStr">
        <is>
          <t>জানুয়ারি</t>
        </is>
      </c>
      <c r="C41" s="66" t="inlineStr">
        <is>
          <t>ফেব্রুয়ারি</t>
        </is>
      </c>
      <c r="D41" s="66" t="inlineStr">
        <is>
          <t>মার্চ</t>
        </is>
      </c>
      <c r="E41" s="66" t="inlineStr">
        <is>
          <t>এপ্রিল</t>
        </is>
      </c>
      <c r="F41" s="66" t="inlineStr">
        <is>
          <t>মে</t>
        </is>
      </c>
      <c r="G41" s="66" t="inlineStr">
        <is>
          <t>জুন</t>
        </is>
      </c>
      <c r="H41" s="66" t="inlineStr">
        <is>
          <t>জুলাই</t>
        </is>
      </c>
      <c r="I41" s="66" t="inlineStr">
        <is>
          <t>আগস্ট</t>
        </is>
      </c>
      <c r="J41" s="66" t="inlineStr">
        <is>
          <t>সেপ্টেম্বর</t>
        </is>
      </c>
      <c r="K41" s="66" t="inlineStr">
        <is>
          <t>অক্টোবর</t>
        </is>
      </c>
      <c r="L41" s="66" t="inlineStr">
        <is>
          <t>নভেম্বর</t>
        </is>
      </c>
      <c r="M41" s="66" t="inlineStr">
        <is>
          <t>ডিসেম্বর</t>
        </is>
      </c>
      <c r="N41" s="66" t="inlineStr">
        <is>
          <t>বার্ষিক মোট</t>
        </is>
      </c>
    </row>
    <row r="42" ht="15.75" customHeight="1" s="52">
      <c r="A42" s="75" t="inlineStr">
        <is>
          <t>চাল</t>
        </is>
      </c>
      <c r="B42" s="68">
        <f>'জানুয়ারি ২০২৬'!$J$23</f>
        <v/>
      </c>
      <c r="C42" s="68">
        <f>'ফেব্রুয়ারি ২০২৬'!$J$23</f>
        <v/>
      </c>
      <c r="D42" s="68">
        <f>'মার্চ ২০২৬'!$J$23</f>
        <v/>
      </c>
      <c r="E42" s="68">
        <f>'এপ্রিল ২০২৬'!$J$23</f>
        <v/>
      </c>
      <c r="F42" s="68">
        <f>'মে ২০২৬'!$J$23</f>
        <v/>
      </c>
      <c r="G42" s="68">
        <f>'জুন ২০২৬'!$J$23</f>
        <v/>
      </c>
      <c r="H42" s="68">
        <f>'জুলাই ২০২৬'!$J$23</f>
        <v/>
      </c>
      <c r="I42" s="68">
        <f>'আগস্ট ২০২৬'!$J$23</f>
        <v/>
      </c>
      <c r="J42" s="68">
        <f>'সেপ্টেম্বর ২০২৬'!$J$23</f>
        <v/>
      </c>
      <c r="K42" s="68">
        <f>'অক্টোবর ২০২৬'!$J$23</f>
        <v/>
      </c>
      <c r="L42" s="68">
        <f>'নভেম্বর ২০২৬'!$J$23</f>
        <v/>
      </c>
      <c r="M42" s="68">
        <f>'ডিসেম্বর ২০২৬'!$J$23</f>
        <v/>
      </c>
      <c r="N42" s="69">
        <f>SUM($B42:$M42)</f>
        <v/>
      </c>
    </row>
    <row r="43" ht="15.75" customHeight="1" s="52">
      <c r="A43" s="76" t="inlineStr">
        <is>
          <t>আটা ও ময়দা</t>
        </is>
      </c>
      <c r="B43" s="71">
        <f>'জানুয়ারি ২০২৬'!$J$24</f>
        <v/>
      </c>
      <c r="C43" s="71">
        <f>'ফেব্রুয়ারি ২০২৬'!$J$24</f>
        <v/>
      </c>
      <c r="D43" s="71">
        <f>'মার্চ ২০২৬'!$J$24</f>
        <v/>
      </c>
      <c r="E43" s="71">
        <f>'এপ্রিল ২০২৬'!$J$24</f>
        <v/>
      </c>
      <c r="F43" s="71">
        <f>'মে ২০২৬'!$J$24</f>
        <v/>
      </c>
      <c r="G43" s="71">
        <f>'জুন ২০২৬'!$J$24</f>
        <v/>
      </c>
      <c r="H43" s="71">
        <f>'জুলাই ২০২৬'!$J$24</f>
        <v/>
      </c>
      <c r="I43" s="71">
        <f>'আগস্ট ২০২৬'!$J$24</f>
        <v/>
      </c>
      <c r="J43" s="71">
        <f>'সেপ্টেম্বর ২০২৬'!$J$24</f>
        <v/>
      </c>
      <c r="K43" s="71">
        <f>'অক্টোবর ২০২৬'!$J$24</f>
        <v/>
      </c>
      <c r="L43" s="71">
        <f>'নভেম্বর ২০২৬'!$J$24</f>
        <v/>
      </c>
      <c r="M43" s="71">
        <f>'ডিসেম্বর ২০২৬'!$J$24</f>
        <v/>
      </c>
      <c r="N43" s="69">
        <f>SUM($B43:$M43)</f>
        <v/>
      </c>
    </row>
    <row r="44" ht="15.75" customHeight="1" s="52">
      <c r="A44" s="75" t="inlineStr">
        <is>
          <t>ডাল</t>
        </is>
      </c>
      <c r="B44" s="68">
        <f>'জানুয়ারি ২০২৬'!$J$25</f>
        <v/>
      </c>
      <c r="C44" s="68">
        <f>'ফেব্রুয়ারি ২০২৬'!$J$25</f>
        <v/>
      </c>
      <c r="D44" s="68">
        <f>'মার্চ ২০২৬'!$J$25</f>
        <v/>
      </c>
      <c r="E44" s="68">
        <f>'এপ্রিল ২০২৬'!$J$25</f>
        <v/>
      </c>
      <c r="F44" s="68">
        <f>'মে ২০২৬'!$J$25</f>
        <v/>
      </c>
      <c r="G44" s="68">
        <f>'জুন ২০২৬'!$J$25</f>
        <v/>
      </c>
      <c r="H44" s="68">
        <f>'জুলাই ২০২৬'!$J$25</f>
        <v/>
      </c>
      <c r="I44" s="68">
        <f>'আগস্ট ২০২৬'!$J$25</f>
        <v/>
      </c>
      <c r="J44" s="68">
        <f>'সেপ্টেম্বর ২০২৬'!$J$25</f>
        <v/>
      </c>
      <c r="K44" s="68">
        <f>'অক্টোবর ২০২৬'!$J$25</f>
        <v/>
      </c>
      <c r="L44" s="68">
        <f>'নভেম্বর ২০২৬'!$J$25</f>
        <v/>
      </c>
      <c r="M44" s="68">
        <f>'ডিসেম্বর ২০২৬'!$J$25</f>
        <v/>
      </c>
      <c r="N44" s="69">
        <f>SUM($B44:$M44)</f>
        <v/>
      </c>
    </row>
    <row r="45" ht="15.75" customHeight="1" s="52">
      <c r="A45" s="76" t="inlineStr">
        <is>
          <t>মাছ</t>
        </is>
      </c>
      <c r="B45" s="71">
        <f>'জানুয়ারি ২০২৬'!$J$26</f>
        <v/>
      </c>
      <c r="C45" s="71">
        <f>'ফেব্রুয়ারি ২০২৬'!$J$26</f>
        <v/>
      </c>
      <c r="D45" s="71">
        <f>'মার্চ ২০২৬'!$J$26</f>
        <v/>
      </c>
      <c r="E45" s="71">
        <f>'এপ্রিল ২০২৬'!$J$26</f>
        <v/>
      </c>
      <c r="F45" s="71">
        <f>'মে ২০২৬'!$J$26</f>
        <v/>
      </c>
      <c r="G45" s="71">
        <f>'জুন ২০২৬'!$J$26</f>
        <v/>
      </c>
      <c r="H45" s="71">
        <f>'জুলাই ২০২৬'!$J$26</f>
        <v/>
      </c>
      <c r="I45" s="71">
        <f>'আগস্ট ২০২৬'!$J$26</f>
        <v/>
      </c>
      <c r="J45" s="71">
        <f>'সেপ্টেম্বর ২০২৬'!$J$26</f>
        <v/>
      </c>
      <c r="K45" s="71">
        <f>'অক্টোবর ২০২৬'!$J$26</f>
        <v/>
      </c>
      <c r="L45" s="71">
        <f>'নভেম্বর ২০২৬'!$J$26</f>
        <v/>
      </c>
      <c r="M45" s="71">
        <f>'ডিসেম্বর ২০২৬'!$J$26</f>
        <v/>
      </c>
      <c r="N45" s="69">
        <f>SUM($B45:$M45)</f>
        <v/>
      </c>
    </row>
    <row r="46" ht="15.75" customHeight="1" s="52">
      <c r="A46" s="75" t="inlineStr">
        <is>
          <t>মাংস</t>
        </is>
      </c>
      <c r="B46" s="68">
        <f>'জানুয়ারি ২০২৬'!$J$27</f>
        <v/>
      </c>
      <c r="C46" s="68">
        <f>'ফেব্রুয়ারি ২০২৬'!$J$27</f>
        <v/>
      </c>
      <c r="D46" s="68">
        <f>'মার্চ ২০২৬'!$J$27</f>
        <v/>
      </c>
      <c r="E46" s="68">
        <f>'এপ্রিল ২০২৬'!$J$27</f>
        <v/>
      </c>
      <c r="F46" s="68">
        <f>'মে ২০২৬'!$J$27</f>
        <v/>
      </c>
      <c r="G46" s="68">
        <f>'জুন ২০২৬'!$J$27</f>
        <v/>
      </c>
      <c r="H46" s="68">
        <f>'জুলাই ২০২৬'!$J$27</f>
        <v/>
      </c>
      <c r="I46" s="68">
        <f>'আগস্ট ২০২৬'!$J$27</f>
        <v/>
      </c>
      <c r="J46" s="68">
        <f>'সেপ্টেম্বর ২০২৬'!$J$27</f>
        <v/>
      </c>
      <c r="K46" s="68">
        <f>'অক্টোবর ২০২৬'!$J$27</f>
        <v/>
      </c>
      <c r="L46" s="68">
        <f>'নভেম্বর ২০২৬'!$J$27</f>
        <v/>
      </c>
      <c r="M46" s="68">
        <f>'ডিসেম্বর ২০২৬'!$J$27</f>
        <v/>
      </c>
      <c r="N46" s="69">
        <f>SUM($B46:$M46)</f>
        <v/>
      </c>
    </row>
    <row r="47" ht="15.75" customHeight="1" s="52">
      <c r="A47" s="76" t="inlineStr">
        <is>
          <t>ডিম</t>
        </is>
      </c>
      <c r="B47" s="71">
        <f>'জানুয়ারি ২০২৬'!$J$28</f>
        <v/>
      </c>
      <c r="C47" s="71">
        <f>'ফেব্রুয়ারি ২০২৬'!$J$28</f>
        <v/>
      </c>
      <c r="D47" s="71">
        <f>'মার্চ ২০২৬'!$J$28</f>
        <v/>
      </c>
      <c r="E47" s="71">
        <f>'এপ্রিল ২০২৬'!$J$28</f>
        <v/>
      </c>
      <c r="F47" s="71">
        <f>'মে ২০২৬'!$J$28</f>
        <v/>
      </c>
      <c r="G47" s="71">
        <f>'জুন ২০২৬'!$J$28</f>
        <v/>
      </c>
      <c r="H47" s="71">
        <f>'জুলাই ২০২৬'!$J$28</f>
        <v/>
      </c>
      <c r="I47" s="71">
        <f>'আগস্ট ২০২৬'!$J$28</f>
        <v/>
      </c>
      <c r="J47" s="71">
        <f>'সেপ্টেম্বর ২০২৬'!$J$28</f>
        <v/>
      </c>
      <c r="K47" s="71">
        <f>'অক্টোবর ২০২৬'!$J$28</f>
        <v/>
      </c>
      <c r="L47" s="71">
        <f>'নভেম্বর ২০২৬'!$J$28</f>
        <v/>
      </c>
      <c r="M47" s="71">
        <f>'ডিসেম্বর ২০২৬'!$J$28</f>
        <v/>
      </c>
      <c r="N47" s="69">
        <f>SUM($B47:$M47)</f>
        <v/>
      </c>
    </row>
    <row r="48" ht="15.75" customHeight="1" s="52">
      <c r="A48" s="75" t="inlineStr">
        <is>
          <t>দুধ ও দুগ্ধজাত পণ্য</t>
        </is>
      </c>
      <c r="B48" s="68">
        <f>'জানুয়ারি ২০২৬'!$J$29</f>
        <v/>
      </c>
      <c r="C48" s="68">
        <f>'ফেব্রুয়ারি ২০২৬'!$J$29</f>
        <v/>
      </c>
      <c r="D48" s="68">
        <f>'মার্চ ২০২৬'!$J$29</f>
        <v/>
      </c>
      <c r="E48" s="68">
        <f>'এপ্রিল ২০২৬'!$J$29</f>
        <v/>
      </c>
      <c r="F48" s="68">
        <f>'মে ২০২৬'!$J$29</f>
        <v/>
      </c>
      <c r="G48" s="68">
        <f>'জুন ২০২৬'!$J$29</f>
        <v/>
      </c>
      <c r="H48" s="68">
        <f>'জুলাই ২০২৬'!$J$29</f>
        <v/>
      </c>
      <c r="I48" s="68">
        <f>'আগস্ট ২০২৬'!$J$29</f>
        <v/>
      </c>
      <c r="J48" s="68">
        <f>'সেপ্টেম্বর ২০২৬'!$J$29</f>
        <v/>
      </c>
      <c r="K48" s="68">
        <f>'অক্টোবর ২০২৬'!$J$29</f>
        <v/>
      </c>
      <c r="L48" s="68">
        <f>'নভেম্বর ২০২৬'!$J$29</f>
        <v/>
      </c>
      <c r="M48" s="68">
        <f>'ডিসেম্বর ২০২৬'!$J$29</f>
        <v/>
      </c>
      <c r="N48" s="69">
        <f>SUM($B48:$M48)</f>
        <v/>
      </c>
    </row>
    <row r="49" ht="15.75" customHeight="1" s="52">
      <c r="A49" s="76" t="inlineStr">
        <is>
          <t>ভোজ্য তেল</t>
        </is>
      </c>
      <c r="B49" s="71">
        <f>'জানুয়ারি ২০২৬'!$J$30</f>
        <v/>
      </c>
      <c r="C49" s="71">
        <f>'ফেব্রুয়ারি ২০২৬'!$J$30</f>
        <v/>
      </c>
      <c r="D49" s="71">
        <f>'মার্চ ২০২৬'!$J$30</f>
        <v/>
      </c>
      <c r="E49" s="71">
        <f>'এপ্রিল ২০২৬'!$J$30</f>
        <v/>
      </c>
      <c r="F49" s="71">
        <f>'মে ২০২৬'!$J$30</f>
        <v/>
      </c>
      <c r="G49" s="71">
        <f>'জুন ২০২৬'!$J$30</f>
        <v/>
      </c>
      <c r="H49" s="71">
        <f>'জুলাই ২০২৬'!$J$30</f>
        <v/>
      </c>
      <c r="I49" s="71">
        <f>'আগস্ট ২০২৬'!$J$30</f>
        <v/>
      </c>
      <c r="J49" s="71">
        <f>'সেপ্টেম্বর ২০২৬'!$J$30</f>
        <v/>
      </c>
      <c r="K49" s="71">
        <f>'অক্টোবর ২০২৬'!$J$30</f>
        <v/>
      </c>
      <c r="L49" s="71">
        <f>'নভেম্বর ২০২৬'!$J$30</f>
        <v/>
      </c>
      <c r="M49" s="71">
        <f>'ডিসেম্বর ২০২৬'!$J$30</f>
        <v/>
      </c>
      <c r="N49" s="69">
        <f>SUM($B49:$M49)</f>
        <v/>
      </c>
    </row>
    <row r="50" ht="15.75" customHeight="1" s="52">
      <c r="A50" s="75" t="inlineStr">
        <is>
          <t>শাক-সবজি</t>
        </is>
      </c>
      <c r="B50" s="68">
        <f>'জানুয়ারি ২০২৬'!$J$31</f>
        <v/>
      </c>
      <c r="C50" s="68">
        <f>'ফেব্রুয়ারি ২০২৬'!$J$31</f>
        <v/>
      </c>
      <c r="D50" s="68">
        <f>'মার্চ ২০২৬'!$J$31</f>
        <v/>
      </c>
      <c r="E50" s="68">
        <f>'এপ্রিল ২০২৬'!$J$31</f>
        <v/>
      </c>
      <c r="F50" s="68">
        <f>'মে ২০২৬'!$J$31</f>
        <v/>
      </c>
      <c r="G50" s="68">
        <f>'জুন ২০২৬'!$J$31</f>
        <v/>
      </c>
      <c r="H50" s="68">
        <f>'জুলাই ২০২৬'!$J$31</f>
        <v/>
      </c>
      <c r="I50" s="68">
        <f>'আগস্ট ২০২৬'!$J$31</f>
        <v/>
      </c>
      <c r="J50" s="68">
        <f>'সেপ্টেম্বর ২০২৬'!$J$31</f>
        <v/>
      </c>
      <c r="K50" s="68">
        <f>'অক্টোবর ২০২৬'!$J$31</f>
        <v/>
      </c>
      <c r="L50" s="68">
        <f>'নভেম্বর ২০২৬'!$J$31</f>
        <v/>
      </c>
      <c r="M50" s="68">
        <f>'ডিসেম্বর ২০২৬'!$J$31</f>
        <v/>
      </c>
      <c r="N50" s="69">
        <f>SUM($B50:$M50)</f>
        <v/>
      </c>
    </row>
    <row r="51" ht="15.75" customHeight="1" s="52">
      <c r="A51" s="76" t="inlineStr">
        <is>
          <t>ফলমূল</t>
        </is>
      </c>
      <c r="B51" s="71">
        <f>'জানুয়ারি ২০২৬'!$J$32</f>
        <v/>
      </c>
      <c r="C51" s="71">
        <f>'ফেব্রুয়ারি ২০২৬'!$J$32</f>
        <v/>
      </c>
      <c r="D51" s="71">
        <f>'মার্চ ২০২৬'!$J$32</f>
        <v/>
      </c>
      <c r="E51" s="71">
        <f>'এপ্রিল ২০২৬'!$J$32</f>
        <v/>
      </c>
      <c r="F51" s="71">
        <f>'মে ২০২৬'!$J$32</f>
        <v/>
      </c>
      <c r="G51" s="71">
        <f>'জুন ২০২৬'!$J$32</f>
        <v/>
      </c>
      <c r="H51" s="71">
        <f>'জুলাই ২০২৬'!$J$32</f>
        <v/>
      </c>
      <c r="I51" s="71">
        <f>'আগস্ট ২০২৬'!$J$32</f>
        <v/>
      </c>
      <c r="J51" s="71">
        <f>'সেপ্টেম্বর ২০২৬'!$J$32</f>
        <v/>
      </c>
      <c r="K51" s="71">
        <f>'অক্টোবর ২০২৬'!$J$32</f>
        <v/>
      </c>
      <c r="L51" s="71">
        <f>'নভেম্বর ২০২৬'!$J$32</f>
        <v/>
      </c>
      <c r="M51" s="71">
        <f>'ডিসেম্বর ২০২৬'!$J$32</f>
        <v/>
      </c>
      <c r="N51" s="69">
        <f>SUM($B51:$M51)</f>
        <v/>
      </c>
    </row>
    <row r="52" ht="15.75" customHeight="1" s="52">
      <c r="A52" s="75" t="inlineStr">
        <is>
          <t>মসলা</t>
        </is>
      </c>
      <c r="B52" s="68">
        <f>'জানুয়ারি ২০২৬'!$J$33</f>
        <v/>
      </c>
      <c r="C52" s="68">
        <f>'ফেব্রুয়ারি ২০২৬'!$J$33</f>
        <v/>
      </c>
      <c r="D52" s="68">
        <f>'মার্চ ২০২৬'!$J$33</f>
        <v/>
      </c>
      <c r="E52" s="68">
        <f>'এপ্রিল ২০২৬'!$J$33</f>
        <v/>
      </c>
      <c r="F52" s="68">
        <f>'মে ২০২৬'!$J$33</f>
        <v/>
      </c>
      <c r="G52" s="68">
        <f>'জুন ২০২৬'!$J$33</f>
        <v/>
      </c>
      <c r="H52" s="68">
        <f>'জুলাই ২০২৬'!$J$33</f>
        <v/>
      </c>
      <c r="I52" s="68">
        <f>'আগস্ট ২০২৬'!$J$33</f>
        <v/>
      </c>
      <c r="J52" s="68">
        <f>'সেপ্টেম্বর ২০২৬'!$J$33</f>
        <v/>
      </c>
      <c r="K52" s="68">
        <f>'অক্টোবর ২০২৬'!$J$33</f>
        <v/>
      </c>
      <c r="L52" s="68">
        <f>'নভেম্বর ২০২৬'!$J$33</f>
        <v/>
      </c>
      <c r="M52" s="68">
        <f>'ডিসেম্বর ২০২৬'!$J$33</f>
        <v/>
      </c>
      <c r="N52" s="69">
        <f>SUM($B52:$M52)</f>
        <v/>
      </c>
    </row>
    <row r="53" ht="15.75" customHeight="1" s="52">
      <c r="A53" s="76" t="inlineStr">
        <is>
          <t>চিনি ও লবণ</t>
        </is>
      </c>
      <c r="B53" s="71">
        <f>'জানুয়ারি ২০২৬'!$J$34</f>
        <v/>
      </c>
      <c r="C53" s="71">
        <f>'ফেব্রুয়ারি ২০২৬'!$J$34</f>
        <v/>
      </c>
      <c r="D53" s="71">
        <f>'মার্চ ২০২৬'!$J$34</f>
        <v/>
      </c>
      <c r="E53" s="71">
        <f>'এপ্রিল ২০২৬'!$J$34</f>
        <v/>
      </c>
      <c r="F53" s="71">
        <f>'মে ২০২৬'!$J$34</f>
        <v/>
      </c>
      <c r="G53" s="71">
        <f>'জুন ২০২৬'!$J$34</f>
        <v/>
      </c>
      <c r="H53" s="71">
        <f>'জুলাই ২০২৬'!$J$34</f>
        <v/>
      </c>
      <c r="I53" s="71">
        <f>'আগস্ট ২০২৬'!$J$34</f>
        <v/>
      </c>
      <c r="J53" s="71">
        <f>'সেপ্টেম্বর ২০২৬'!$J$34</f>
        <v/>
      </c>
      <c r="K53" s="71">
        <f>'অক্টোবর ২০২৬'!$J$34</f>
        <v/>
      </c>
      <c r="L53" s="71">
        <f>'নভেম্বর ২০২৬'!$J$34</f>
        <v/>
      </c>
      <c r="M53" s="71">
        <f>'ডিসেম্বর ২০২৬'!$J$34</f>
        <v/>
      </c>
      <c r="N53" s="69">
        <f>SUM($B53:$M53)</f>
        <v/>
      </c>
    </row>
    <row r="54" ht="15.75" customHeight="1" s="52">
      <c r="A54" s="75" t="inlineStr">
        <is>
          <t>চা ও কফি</t>
        </is>
      </c>
      <c r="B54" s="68">
        <f>'জানুয়ারি ২০২৬'!$J$35</f>
        <v/>
      </c>
      <c r="C54" s="68">
        <f>'ফেব্রুয়ারি ২০২৬'!$J$35</f>
        <v/>
      </c>
      <c r="D54" s="68">
        <f>'মার্চ ২০২৬'!$J$35</f>
        <v/>
      </c>
      <c r="E54" s="68">
        <f>'এপ্রিল ২০২৬'!$J$35</f>
        <v/>
      </c>
      <c r="F54" s="68">
        <f>'মে ২০২৬'!$J$35</f>
        <v/>
      </c>
      <c r="G54" s="68">
        <f>'জুন ২০২৬'!$J$35</f>
        <v/>
      </c>
      <c r="H54" s="68">
        <f>'জুলাই ২০২৬'!$J$35</f>
        <v/>
      </c>
      <c r="I54" s="68">
        <f>'আগস্ট ২০২৬'!$J$35</f>
        <v/>
      </c>
      <c r="J54" s="68">
        <f>'সেপ্টেম্বর ২০২৬'!$J$35</f>
        <v/>
      </c>
      <c r="K54" s="68">
        <f>'অক্টোবর ২০২৬'!$J$35</f>
        <v/>
      </c>
      <c r="L54" s="68">
        <f>'নভেম্বর ২০২৬'!$J$35</f>
        <v/>
      </c>
      <c r="M54" s="68">
        <f>'ডিসেম্বর ২০২৬'!$J$35</f>
        <v/>
      </c>
      <c r="N54" s="69">
        <f>SUM($B54:$M54)</f>
        <v/>
      </c>
    </row>
    <row r="55" ht="15.75" customHeight="1" s="52">
      <c r="A55" s="76" t="inlineStr">
        <is>
          <t>নাশতা ও বেকারি</t>
        </is>
      </c>
      <c r="B55" s="71">
        <f>'জানুয়ারি ২০২৬'!$J$36</f>
        <v/>
      </c>
      <c r="C55" s="71">
        <f>'ফেব্রুয়ারি ২০২৬'!$J$36</f>
        <v/>
      </c>
      <c r="D55" s="71">
        <f>'মার্চ ২০২৬'!$J$36</f>
        <v/>
      </c>
      <c r="E55" s="71">
        <f>'এপ্রিল ২০২৬'!$J$36</f>
        <v/>
      </c>
      <c r="F55" s="71">
        <f>'মে ২০২৬'!$J$36</f>
        <v/>
      </c>
      <c r="G55" s="71">
        <f>'জুন ২০২৬'!$J$36</f>
        <v/>
      </c>
      <c r="H55" s="71">
        <f>'জুলাই ২০২৬'!$J$36</f>
        <v/>
      </c>
      <c r="I55" s="71">
        <f>'আগস্ট ২০২৬'!$J$36</f>
        <v/>
      </c>
      <c r="J55" s="71">
        <f>'সেপ্টেম্বর ২০২৬'!$J$36</f>
        <v/>
      </c>
      <c r="K55" s="71">
        <f>'অক্টোবর ২০২৬'!$J$36</f>
        <v/>
      </c>
      <c r="L55" s="71">
        <f>'নভেম্বর ২০২৬'!$J$36</f>
        <v/>
      </c>
      <c r="M55" s="71">
        <f>'ডিসেম্বর ২০২৬'!$J$36</f>
        <v/>
      </c>
      <c r="N55" s="69">
        <f>SUM($B55:$M55)</f>
        <v/>
      </c>
    </row>
    <row r="56" ht="15.75" customHeight="1" s="52">
      <c r="A56" s="75" t="inlineStr">
        <is>
          <t>বাইরে খাওয়া / রেস্তোরাঁ</t>
        </is>
      </c>
      <c r="B56" s="68">
        <f>'জানুয়ারি ২০২৬'!$J$37</f>
        <v/>
      </c>
      <c r="C56" s="68">
        <f>'ফেব্রুয়ারি ২০২৬'!$J$37</f>
        <v/>
      </c>
      <c r="D56" s="68">
        <f>'মার্চ ২০২৬'!$J$37</f>
        <v/>
      </c>
      <c r="E56" s="68">
        <f>'এপ্রিল ২০২৬'!$J$37</f>
        <v/>
      </c>
      <c r="F56" s="68">
        <f>'মে ২০২৬'!$J$37</f>
        <v/>
      </c>
      <c r="G56" s="68">
        <f>'জুন ২০২৬'!$J$37</f>
        <v/>
      </c>
      <c r="H56" s="68">
        <f>'জুলাই ২০২৬'!$J$37</f>
        <v/>
      </c>
      <c r="I56" s="68">
        <f>'আগস্ট ২০২৬'!$J$37</f>
        <v/>
      </c>
      <c r="J56" s="68">
        <f>'সেপ্টেম্বর ২০২৬'!$J$37</f>
        <v/>
      </c>
      <c r="K56" s="68">
        <f>'অক্টোবর ২০২৬'!$J$37</f>
        <v/>
      </c>
      <c r="L56" s="68">
        <f>'নভেম্বর ২০২৬'!$J$37</f>
        <v/>
      </c>
      <c r="M56" s="68">
        <f>'ডিসেম্বর ২০২৬'!$J$37</f>
        <v/>
      </c>
      <c r="N56" s="69">
        <f>SUM($B56:$M56)</f>
        <v/>
      </c>
    </row>
    <row r="57" ht="15.75" customHeight="1" s="52">
      <c r="A57" s="76" t="inlineStr">
        <is>
          <t>বাড়ি ভাড়া</t>
        </is>
      </c>
      <c r="B57" s="71">
        <f>'জানুয়ারি ২০২৬'!$J$38</f>
        <v/>
      </c>
      <c r="C57" s="71">
        <f>'ফেব্রুয়ারি ২০২৬'!$J$38</f>
        <v/>
      </c>
      <c r="D57" s="71">
        <f>'মার্চ ২০২৬'!$J$38</f>
        <v/>
      </c>
      <c r="E57" s="71">
        <f>'এপ্রিল ২০২৬'!$J$38</f>
        <v/>
      </c>
      <c r="F57" s="71">
        <f>'মে ২০২৬'!$J$38</f>
        <v/>
      </c>
      <c r="G57" s="71">
        <f>'জুন ২০২৬'!$J$38</f>
        <v/>
      </c>
      <c r="H57" s="71">
        <f>'জুলাই ২০২৬'!$J$38</f>
        <v/>
      </c>
      <c r="I57" s="71">
        <f>'আগস্ট ২০২৬'!$J$38</f>
        <v/>
      </c>
      <c r="J57" s="71">
        <f>'সেপ্টেম্বর ২০২৬'!$J$38</f>
        <v/>
      </c>
      <c r="K57" s="71">
        <f>'অক্টোবর ২০২৬'!$J$38</f>
        <v/>
      </c>
      <c r="L57" s="71">
        <f>'নভেম্বর ২০২৬'!$J$38</f>
        <v/>
      </c>
      <c r="M57" s="71">
        <f>'ডিসেম্বর ২০২৬'!$J$38</f>
        <v/>
      </c>
      <c r="N57" s="69">
        <f>SUM($B57:$M57)</f>
        <v/>
      </c>
    </row>
    <row r="58" ht="15.75" customHeight="1" s="52">
      <c r="A58" s="75" t="inlineStr">
        <is>
          <t>সার্ভিস চার্জ</t>
        </is>
      </c>
      <c r="B58" s="68">
        <f>'জানুয়ারি ২০২৬'!$J$39</f>
        <v/>
      </c>
      <c r="C58" s="68">
        <f>'ফেব্রুয়ারি ২০২৬'!$J$39</f>
        <v/>
      </c>
      <c r="D58" s="68">
        <f>'মার্চ ২০২৬'!$J$39</f>
        <v/>
      </c>
      <c r="E58" s="68">
        <f>'এপ্রিল ২০২৬'!$J$39</f>
        <v/>
      </c>
      <c r="F58" s="68">
        <f>'মে ২০২৬'!$J$39</f>
        <v/>
      </c>
      <c r="G58" s="68">
        <f>'জুন ২০২৬'!$J$39</f>
        <v/>
      </c>
      <c r="H58" s="68">
        <f>'জুলাই ২০২৬'!$J$39</f>
        <v/>
      </c>
      <c r="I58" s="68">
        <f>'আগস্ট ২০২৬'!$J$39</f>
        <v/>
      </c>
      <c r="J58" s="68">
        <f>'সেপ্টেম্বর ২০২৬'!$J$39</f>
        <v/>
      </c>
      <c r="K58" s="68">
        <f>'অক্টোবর ২০২৬'!$J$39</f>
        <v/>
      </c>
      <c r="L58" s="68">
        <f>'নভেম্বর ২০২৬'!$J$39</f>
        <v/>
      </c>
      <c r="M58" s="68">
        <f>'ডিসেম্বর ২০২৬'!$J$39</f>
        <v/>
      </c>
      <c r="N58" s="69">
        <f>SUM($B58:$M58)</f>
        <v/>
      </c>
    </row>
    <row r="59" ht="15.75" customHeight="1" s="52">
      <c r="A59" s="76" t="inlineStr">
        <is>
          <t>বাড়ি মেরামত ও রক্ষণাবেক্ষণ</t>
        </is>
      </c>
      <c r="B59" s="71">
        <f>'জানুয়ারি ২০২৬'!$J$40</f>
        <v/>
      </c>
      <c r="C59" s="71">
        <f>'ফেব্রুয়ারি ২০২৬'!$J$40</f>
        <v/>
      </c>
      <c r="D59" s="71">
        <f>'মার্চ ২০২৬'!$J$40</f>
        <v/>
      </c>
      <c r="E59" s="71">
        <f>'এপ্রিল ২০২৬'!$J$40</f>
        <v/>
      </c>
      <c r="F59" s="71">
        <f>'মে ২০২৬'!$J$40</f>
        <v/>
      </c>
      <c r="G59" s="71">
        <f>'জুন ২০২৬'!$J$40</f>
        <v/>
      </c>
      <c r="H59" s="71">
        <f>'জুলাই ২০২৬'!$J$40</f>
        <v/>
      </c>
      <c r="I59" s="71">
        <f>'আগস্ট ২০২৬'!$J$40</f>
        <v/>
      </c>
      <c r="J59" s="71">
        <f>'সেপ্টেম্বর ২০২৬'!$J$40</f>
        <v/>
      </c>
      <c r="K59" s="71">
        <f>'অক্টোবর ২০২৬'!$J$40</f>
        <v/>
      </c>
      <c r="L59" s="71">
        <f>'নভেম্বর ২০২৬'!$J$40</f>
        <v/>
      </c>
      <c r="M59" s="71">
        <f>'ডিসেম্বর ২০২৬'!$J$40</f>
        <v/>
      </c>
      <c r="N59" s="69">
        <f>SUM($B59:$M59)</f>
        <v/>
      </c>
    </row>
    <row r="60" ht="15.75" customHeight="1" s="52">
      <c r="A60" s="75" t="inlineStr">
        <is>
          <t>গৃহকর্মীর বেতন</t>
        </is>
      </c>
      <c r="B60" s="68">
        <f>'জানুয়ারি ২০২৬'!$J$41</f>
        <v/>
      </c>
      <c r="C60" s="68">
        <f>'ফেব্রুয়ারি ২০২৬'!$J$41</f>
        <v/>
      </c>
      <c r="D60" s="68">
        <f>'মার্চ ২০২৬'!$J$41</f>
        <v/>
      </c>
      <c r="E60" s="68">
        <f>'এপ্রিল ২০২৬'!$J$41</f>
        <v/>
      </c>
      <c r="F60" s="68">
        <f>'মে ২০২৬'!$J$41</f>
        <v/>
      </c>
      <c r="G60" s="68">
        <f>'জুন ২০২৬'!$J$41</f>
        <v/>
      </c>
      <c r="H60" s="68">
        <f>'জুলাই ২০২৬'!$J$41</f>
        <v/>
      </c>
      <c r="I60" s="68">
        <f>'আগস্ট ২০২৬'!$J$41</f>
        <v/>
      </c>
      <c r="J60" s="68">
        <f>'সেপ্টেম্বর ২০২৬'!$J$41</f>
        <v/>
      </c>
      <c r="K60" s="68">
        <f>'অক্টোবর ২০২৬'!$J$41</f>
        <v/>
      </c>
      <c r="L60" s="68">
        <f>'নভেম্বর ২০২৬'!$J$41</f>
        <v/>
      </c>
      <c r="M60" s="68">
        <f>'ডিসেম্বর ২০২৬'!$J$41</f>
        <v/>
      </c>
      <c r="N60" s="69">
        <f>SUM($B60:$M60)</f>
        <v/>
      </c>
    </row>
    <row r="61" ht="15.75" customHeight="1" s="52">
      <c r="A61" s="76" t="inlineStr">
        <is>
          <t>আসবাবপত্র</t>
        </is>
      </c>
      <c r="B61" s="71">
        <f>'জানুয়ারি ২০২৬'!$J$42</f>
        <v/>
      </c>
      <c r="C61" s="71">
        <f>'ফেব্রুয়ারি ২০২৬'!$J$42</f>
        <v/>
      </c>
      <c r="D61" s="71">
        <f>'মার্চ ২০২৬'!$J$42</f>
        <v/>
      </c>
      <c r="E61" s="71">
        <f>'এপ্রিল ২০২৬'!$J$42</f>
        <v/>
      </c>
      <c r="F61" s="71">
        <f>'মে ২০২৬'!$J$42</f>
        <v/>
      </c>
      <c r="G61" s="71">
        <f>'জুন ২০২৬'!$J$42</f>
        <v/>
      </c>
      <c r="H61" s="71">
        <f>'জুলাই ২০২৬'!$J$42</f>
        <v/>
      </c>
      <c r="I61" s="71">
        <f>'আগস্ট ২০২৬'!$J$42</f>
        <v/>
      </c>
      <c r="J61" s="71">
        <f>'সেপ্টেম্বর ২০২৬'!$J$42</f>
        <v/>
      </c>
      <c r="K61" s="71">
        <f>'অক্টোবর ২০২৬'!$J$42</f>
        <v/>
      </c>
      <c r="L61" s="71">
        <f>'নভেম্বর ২০২৬'!$J$42</f>
        <v/>
      </c>
      <c r="M61" s="71">
        <f>'ডিসেম্বর ২০২৬'!$J$42</f>
        <v/>
      </c>
      <c r="N61" s="69">
        <f>SUM($B61:$M61)</f>
        <v/>
      </c>
    </row>
    <row r="62" ht="15.75" customHeight="1" s="52">
      <c r="A62" s="75" t="inlineStr">
        <is>
          <t>বিদ্যুৎ বিল</t>
        </is>
      </c>
      <c r="B62" s="68">
        <f>'জানুয়ারি ২০২৬'!$J$43</f>
        <v/>
      </c>
      <c r="C62" s="68">
        <f>'ফেব্রুয়ারি ২০২৬'!$J$43</f>
        <v/>
      </c>
      <c r="D62" s="68">
        <f>'মার্চ ২০২৬'!$J$43</f>
        <v/>
      </c>
      <c r="E62" s="68">
        <f>'এপ্রিল ২০২৬'!$J$43</f>
        <v/>
      </c>
      <c r="F62" s="68">
        <f>'মে ২০২৬'!$J$43</f>
        <v/>
      </c>
      <c r="G62" s="68">
        <f>'জুন ২০২৬'!$J$43</f>
        <v/>
      </c>
      <c r="H62" s="68">
        <f>'জুলাই ২০২৬'!$J$43</f>
        <v/>
      </c>
      <c r="I62" s="68">
        <f>'আগস্ট ২০২৬'!$J$43</f>
        <v/>
      </c>
      <c r="J62" s="68">
        <f>'সেপ্টেম্বর ২০২৬'!$J$43</f>
        <v/>
      </c>
      <c r="K62" s="68">
        <f>'অক্টোবর ২০২৬'!$J$43</f>
        <v/>
      </c>
      <c r="L62" s="68">
        <f>'নভেম্বর ২০২৬'!$J$43</f>
        <v/>
      </c>
      <c r="M62" s="68">
        <f>'ডিসেম্বর ২০২৬'!$J$43</f>
        <v/>
      </c>
      <c r="N62" s="69">
        <f>SUM($B62:$M62)</f>
        <v/>
      </c>
    </row>
    <row r="63" ht="15.75" customHeight="1" s="52">
      <c r="A63" s="76" t="inlineStr">
        <is>
          <t>গ্যাস বিল</t>
        </is>
      </c>
      <c r="B63" s="71">
        <f>'জানুয়ারি ২০২৬'!$J$44</f>
        <v/>
      </c>
      <c r="C63" s="71">
        <f>'ফেব্রুয়ারি ২০২৬'!$J$44</f>
        <v/>
      </c>
      <c r="D63" s="71">
        <f>'মার্চ ২০২৬'!$J$44</f>
        <v/>
      </c>
      <c r="E63" s="71">
        <f>'এপ্রিল ২০২৬'!$J$44</f>
        <v/>
      </c>
      <c r="F63" s="71">
        <f>'মে ২০২৬'!$J$44</f>
        <v/>
      </c>
      <c r="G63" s="71">
        <f>'জুন ২০২৬'!$J$44</f>
        <v/>
      </c>
      <c r="H63" s="71">
        <f>'জুলাই ২০২৬'!$J$44</f>
        <v/>
      </c>
      <c r="I63" s="71">
        <f>'আগস্ট ২০২৬'!$J$44</f>
        <v/>
      </c>
      <c r="J63" s="71">
        <f>'সেপ্টেম্বর ২০২৬'!$J$44</f>
        <v/>
      </c>
      <c r="K63" s="71">
        <f>'অক্টোবর ২০২৬'!$J$44</f>
        <v/>
      </c>
      <c r="L63" s="71">
        <f>'নভেম্বর ২০২৬'!$J$44</f>
        <v/>
      </c>
      <c r="M63" s="71">
        <f>'ডিসেম্বর ২০২৬'!$J$44</f>
        <v/>
      </c>
      <c r="N63" s="69">
        <f>SUM($B63:$M63)</f>
        <v/>
      </c>
    </row>
    <row r="64" ht="15.75" customHeight="1" s="52">
      <c r="A64" s="75" t="inlineStr">
        <is>
          <t>পানির বিল</t>
        </is>
      </c>
      <c r="B64" s="68">
        <f>'জানুয়ারি ২০২৬'!$J$45</f>
        <v/>
      </c>
      <c r="C64" s="68">
        <f>'ফেব্রুয়ারি ২০২৬'!$J$45</f>
        <v/>
      </c>
      <c r="D64" s="68">
        <f>'মার্চ ২০২৬'!$J$45</f>
        <v/>
      </c>
      <c r="E64" s="68">
        <f>'এপ্রিল ২০২৬'!$J$45</f>
        <v/>
      </c>
      <c r="F64" s="68">
        <f>'মে ২০২৬'!$J$45</f>
        <v/>
      </c>
      <c r="G64" s="68">
        <f>'জুন ২০২৬'!$J$45</f>
        <v/>
      </c>
      <c r="H64" s="68">
        <f>'জুলাই ২০২৬'!$J$45</f>
        <v/>
      </c>
      <c r="I64" s="68">
        <f>'আগস্ট ২০২৬'!$J$45</f>
        <v/>
      </c>
      <c r="J64" s="68">
        <f>'সেপ্টেম্বর ২০২৬'!$J$45</f>
        <v/>
      </c>
      <c r="K64" s="68">
        <f>'অক্টোবর ২০২৬'!$J$45</f>
        <v/>
      </c>
      <c r="L64" s="68">
        <f>'নভেম্বর ২০২৬'!$J$45</f>
        <v/>
      </c>
      <c r="M64" s="68">
        <f>'ডিসেম্বর ২০২৬'!$J$45</f>
        <v/>
      </c>
      <c r="N64" s="69">
        <f>SUM($B64:$M64)</f>
        <v/>
      </c>
    </row>
    <row r="65" ht="15.75" customHeight="1" s="52">
      <c r="A65" s="76" t="inlineStr">
        <is>
          <t>ইন্টারনেট বিল</t>
        </is>
      </c>
      <c r="B65" s="71">
        <f>'জানুয়ারি ২০২৬'!$J$46</f>
        <v/>
      </c>
      <c r="C65" s="71">
        <f>'ফেব্রুয়ারি ২০২৬'!$J$46</f>
        <v/>
      </c>
      <c r="D65" s="71">
        <f>'মার্চ ২০২৬'!$J$46</f>
        <v/>
      </c>
      <c r="E65" s="71">
        <f>'এপ্রিল ২০২৬'!$J$46</f>
        <v/>
      </c>
      <c r="F65" s="71">
        <f>'মে ২০২৬'!$J$46</f>
        <v/>
      </c>
      <c r="G65" s="71">
        <f>'জুন ২০২৬'!$J$46</f>
        <v/>
      </c>
      <c r="H65" s="71">
        <f>'জুলাই ২০২৬'!$J$46</f>
        <v/>
      </c>
      <c r="I65" s="71">
        <f>'আগস্ট ২০২৬'!$J$46</f>
        <v/>
      </c>
      <c r="J65" s="71">
        <f>'সেপ্টেম্বর ২০২৬'!$J$46</f>
        <v/>
      </c>
      <c r="K65" s="71">
        <f>'অক্টোবর ২০২৬'!$J$46</f>
        <v/>
      </c>
      <c r="L65" s="71">
        <f>'নভেম্বর ২০২৬'!$J$46</f>
        <v/>
      </c>
      <c r="M65" s="71">
        <f>'ডিসেম্বর ২০২৬'!$J$46</f>
        <v/>
      </c>
      <c r="N65" s="69">
        <f>SUM($B65:$M65)</f>
        <v/>
      </c>
    </row>
    <row r="66" ht="15.75" customHeight="1" s="52">
      <c r="A66" s="75" t="inlineStr">
        <is>
          <t>মোবাইল রিচার্জ</t>
        </is>
      </c>
      <c r="B66" s="68">
        <f>'জানুয়ারি ২০২৬'!$J$47</f>
        <v/>
      </c>
      <c r="C66" s="68">
        <f>'ফেব্রুয়ারি ২০২৬'!$J$47</f>
        <v/>
      </c>
      <c r="D66" s="68">
        <f>'মার্চ ২০২৬'!$J$47</f>
        <v/>
      </c>
      <c r="E66" s="68">
        <f>'এপ্রিল ২০২৬'!$J$47</f>
        <v/>
      </c>
      <c r="F66" s="68">
        <f>'মে ২০২৬'!$J$47</f>
        <v/>
      </c>
      <c r="G66" s="68">
        <f>'জুন ২০২৬'!$J$47</f>
        <v/>
      </c>
      <c r="H66" s="68">
        <f>'জুলাই ২০২৬'!$J$47</f>
        <v/>
      </c>
      <c r="I66" s="68">
        <f>'আগস্ট ২০২৬'!$J$47</f>
        <v/>
      </c>
      <c r="J66" s="68">
        <f>'সেপ্টেম্বর ২০২৬'!$J$47</f>
        <v/>
      </c>
      <c r="K66" s="68">
        <f>'অক্টোবর ২০২৬'!$J$47</f>
        <v/>
      </c>
      <c r="L66" s="68">
        <f>'নভেম্বর ২০২৬'!$J$47</f>
        <v/>
      </c>
      <c r="M66" s="68">
        <f>'ডিসেম্বর ২০২৬'!$J$47</f>
        <v/>
      </c>
      <c r="N66" s="69">
        <f>SUM($B66:$M66)</f>
        <v/>
      </c>
    </row>
    <row r="67" ht="15.75" customHeight="1" s="52">
      <c r="A67" s="76" t="inlineStr">
        <is>
          <t>ডিশ / ক্যাবল বিল</t>
        </is>
      </c>
      <c r="B67" s="71">
        <f>'জানুয়ারি ২০২৬'!$J$48</f>
        <v/>
      </c>
      <c r="C67" s="71">
        <f>'ফেব্রুয়ারি ২০২৬'!$J$48</f>
        <v/>
      </c>
      <c r="D67" s="71">
        <f>'মার্চ ২০২৬'!$J$48</f>
        <v/>
      </c>
      <c r="E67" s="71">
        <f>'এপ্রিল ২০২৬'!$J$48</f>
        <v/>
      </c>
      <c r="F67" s="71">
        <f>'মে ২০২৬'!$J$48</f>
        <v/>
      </c>
      <c r="G67" s="71">
        <f>'জুন ২০২৬'!$J$48</f>
        <v/>
      </c>
      <c r="H67" s="71">
        <f>'জুলাই ২০২৬'!$J$48</f>
        <v/>
      </c>
      <c r="I67" s="71">
        <f>'আগস্ট ২০২৬'!$J$48</f>
        <v/>
      </c>
      <c r="J67" s="71">
        <f>'সেপ্টেম্বর ২০২৬'!$J$48</f>
        <v/>
      </c>
      <c r="K67" s="71">
        <f>'অক্টোবর ২০২৬'!$J$48</f>
        <v/>
      </c>
      <c r="L67" s="71">
        <f>'নভেম্বর ২০২৬'!$J$48</f>
        <v/>
      </c>
      <c r="M67" s="71">
        <f>'ডিসেম্বর ২০২৬'!$J$48</f>
        <v/>
      </c>
      <c r="N67" s="69">
        <f>SUM($B67:$M67)</f>
        <v/>
      </c>
    </row>
    <row r="68" ht="15.75" customHeight="1" s="52">
      <c r="A68" s="75" t="inlineStr">
        <is>
          <t>পৌর কর ও হোল্ডিং ট্যাক্স</t>
        </is>
      </c>
      <c r="B68" s="68">
        <f>'জানুয়ারি ২০২৬'!$J$49</f>
        <v/>
      </c>
      <c r="C68" s="68">
        <f>'ফেব্রুয়ারি ২০২৬'!$J$49</f>
        <v/>
      </c>
      <c r="D68" s="68">
        <f>'মার্চ ২০২৬'!$J$49</f>
        <v/>
      </c>
      <c r="E68" s="68">
        <f>'এপ্রিল ২০২৬'!$J$49</f>
        <v/>
      </c>
      <c r="F68" s="68">
        <f>'মে ২০২৬'!$J$49</f>
        <v/>
      </c>
      <c r="G68" s="68">
        <f>'জুন ২০২৬'!$J$49</f>
        <v/>
      </c>
      <c r="H68" s="68">
        <f>'জুলাই ২০২৬'!$J$49</f>
        <v/>
      </c>
      <c r="I68" s="68">
        <f>'আগস্ট ২০২৬'!$J$49</f>
        <v/>
      </c>
      <c r="J68" s="68">
        <f>'সেপ্টেম্বর ২০২৬'!$J$49</f>
        <v/>
      </c>
      <c r="K68" s="68">
        <f>'অক্টোবর ২০২৬'!$J$49</f>
        <v/>
      </c>
      <c r="L68" s="68">
        <f>'নভেম্বর ২০২৬'!$J$49</f>
        <v/>
      </c>
      <c r="M68" s="68">
        <f>'ডিসেম্বর ২০২৬'!$J$49</f>
        <v/>
      </c>
      <c r="N68" s="69">
        <f>SUM($B68:$M68)</f>
        <v/>
      </c>
    </row>
    <row r="69" ht="15.75" customHeight="1" s="52">
      <c r="A69" s="76" t="inlineStr">
        <is>
          <t>ময়লা ও পরিচ্ছন্নতা বিল</t>
        </is>
      </c>
      <c r="B69" s="71">
        <f>'জানুয়ারি ২০২৬'!$J$50</f>
        <v/>
      </c>
      <c r="C69" s="71">
        <f>'ফেব্রুয়ারি ২০২৬'!$J$50</f>
        <v/>
      </c>
      <c r="D69" s="71">
        <f>'মার্চ ২০২৬'!$J$50</f>
        <v/>
      </c>
      <c r="E69" s="71">
        <f>'এপ্রিল ২০২৬'!$J$50</f>
        <v/>
      </c>
      <c r="F69" s="71">
        <f>'মে ২০২৬'!$J$50</f>
        <v/>
      </c>
      <c r="G69" s="71">
        <f>'জুন ২০২৬'!$J$50</f>
        <v/>
      </c>
      <c r="H69" s="71">
        <f>'জুলাই ২০২৬'!$J$50</f>
        <v/>
      </c>
      <c r="I69" s="71">
        <f>'আগস্ট ২০২৬'!$J$50</f>
        <v/>
      </c>
      <c r="J69" s="71">
        <f>'সেপ্টেম্বর ২০২৬'!$J$50</f>
        <v/>
      </c>
      <c r="K69" s="71">
        <f>'অক্টোবর ২০২৬'!$J$50</f>
        <v/>
      </c>
      <c r="L69" s="71">
        <f>'নভেম্বর ২০২৬'!$J$50</f>
        <v/>
      </c>
      <c r="M69" s="71">
        <f>'ডিসেম্বর ২০২৬'!$J$50</f>
        <v/>
      </c>
      <c r="N69" s="69">
        <f>SUM($B69:$M69)</f>
        <v/>
      </c>
    </row>
    <row r="70" ht="15.75" customHeight="1" s="52">
      <c r="A70" s="75" t="inlineStr">
        <is>
          <t>রিকশা / সিএনজি</t>
        </is>
      </c>
      <c r="B70" s="68">
        <f>'জানুয়ারি ২০২৬'!$J$51</f>
        <v/>
      </c>
      <c r="C70" s="68">
        <f>'ফেব্রুয়ারি ২০২৬'!$J$51</f>
        <v/>
      </c>
      <c r="D70" s="68">
        <f>'মার্চ ২০২৬'!$J$51</f>
        <v/>
      </c>
      <c r="E70" s="68">
        <f>'এপ্রিল ২০২৬'!$J$51</f>
        <v/>
      </c>
      <c r="F70" s="68">
        <f>'মে ২০২৬'!$J$51</f>
        <v/>
      </c>
      <c r="G70" s="68">
        <f>'জুন ২০২৬'!$J$51</f>
        <v/>
      </c>
      <c r="H70" s="68">
        <f>'জুলাই ২০২৬'!$J$51</f>
        <v/>
      </c>
      <c r="I70" s="68">
        <f>'আগস্ট ২০২৬'!$J$51</f>
        <v/>
      </c>
      <c r="J70" s="68">
        <f>'সেপ্টেম্বর ২০২৬'!$J$51</f>
        <v/>
      </c>
      <c r="K70" s="68">
        <f>'অক্টোবর ২০২৬'!$J$51</f>
        <v/>
      </c>
      <c r="L70" s="68">
        <f>'নভেম্বর ২০২৬'!$J$51</f>
        <v/>
      </c>
      <c r="M70" s="68">
        <f>'ডিসেম্বর ২০২৬'!$J$51</f>
        <v/>
      </c>
      <c r="N70" s="69">
        <f>SUM($B70:$M70)</f>
        <v/>
      </c>
    </row>
    <row r="71" ht="15.75" customHeight="1" s="52">
      <c r="A71" s="76" t="inlineStr">
        <is>
          <t>বাস / ট্রেন / লঞ্চ ভাড়া</t>
        </is>
      </c>
      <c r="B71" s="71">
        <f>'জানুয়ারি ২০২৬'!$J$52</f>
        <v/>
      </c>
      <c r="C71" s="71">
        <f>'ফেব্রুয়ারি ২০২৬'!$J$52</f>
        <v/>
      </c>
      <c r="D71" s="71">
        <f>'মার্চ ২০২৬'!$J$52</f>
        <v/>
      </c>
      <c r="E71" s="71">
        <f>'এপ্রিল ২০২৬'!$J$52</f>
        <v/>
      </c>
      <c r="F71" s="71">
        <f>'মে ২০২৬'!$J$52</f>
        <v/>
      </c>
      <c r="G71" s="71">
        <f>'জুন ২০২৬'!$J$52</f>
        <v/>
      </c>
      <c r="H71" s="71">
        <f>'জুলাই ২০২৬'!$J$52</f>
        <v/>
      </c>
      <c r="I71" s="71">
        <f>'আগস্ট ২০২৬'!$J$52</f>
        <v/>
      </c>
      <c r="J71" s="71">
        <f>'সেপ্টেম্বর ২০২৬'!$J$52</f>
        <v/>
      </c>
      <c r="K71" s="71">
        <f>'অক্টোবর ২০২৬'!$J$52</f>
        <v/>
      </c>
      <c r="L71" s="71">
        <f>'নভেম্বর ২০২৬'!$J$52</f>
        <v/>
      </c>
      <c r="M71" s="71">
        <f>'ডিসেম্বর ২০২৬'!$J$52</f>
        <v/>
      </c>
      <c r="N71" s="69">
        <f>SUM($B71:$M71)</f>
        <v/>
      </c>
    </row>
    <row r="72" ht="15.75" customHeight="1" s="52">
      <c r="A72" s="75" t="inlineStr">
        <is>
          <t>রাইড শেয়ারিং</t>
        </is>
      </c>
      <c r="B72" s="68">
        <f>'জানুয়ারি ২০২৬'!$J$53</f>
        <v/>
      </c>
      <c r="C72" s="68">
        <f>'ফেব্রুয়ারি ২০২৬'!$J$53</f>
        <v/>
      </c>
      <c r="D72" s="68">
        <f>'মার্চ ২০২৬'!$J$53</f>
        <v/>
      </c>
      <c r="E72" s="68">
        <f>'এপ্রিল ২০২৬'!$J$53</f>
        <v/>
      </c>
      <c r="F72" s="68">
        <f>'মে ২০২৬'!$J$53</f>
        <v/>
      </c>
      <c r="G72" s="68">
        <f>'জুন ২০২৬'!$J$53</f>
        <v/>
      </c>
      <c r="H72" s="68">
        <f>'জুলাই ২০২৬'!$J$53</f>
        <v/>
      </c>
      <c r="I72" s="68">
        <f>'আগস্ট ২০২৬'!$J$53</f>
        <v/>
      </c>
      <c r="J72" s="68">
        <f>'সেপ্টেম্বর ২০২৬'!$J$53</f>
        <v/>
      </c>
      <c r="K72" s="68">
        <f>'অক্টোবর ২০২৬'!$J$53</f>
        <v/>
      </c>
      <c r="L72" s="68">
        <f>'নভেম্বর ২০২৬'!$J$53</f>
        <v/>
      </c>
      <c r="M72" s="68">
        <f>'ডিসেম্বর ২০২৬'!$J$53</f>
        <v/>
      </c>
      <c r="N72" s="69">
        <f>SUM($B72:$M72)</f>
        <v/>
      </c>
    </row>
    <row r="73" ht="15.75" customHeight="1" s="52">
      <c r="A73" s="76" t="inlineStr">
        <is>
          <t>জ্বালানি (পেট্রোল / ডিজেল)</t>
        </is>
      </c>
      <c r="B73" s="71">
        <f>'জানুয়ারি ২০২৬'!$J$54</f>
        <v/>
      </c>
      <c r="C73" s="71">
        <f>'ফেব্রুয়ারি ২০২৬'!$J$54</f>
        <v/>
      </c>
      <c r="D73" s="71">
        <f>'মার্চ ২০২৬'!$J$54</f>
        <v/>
      </c>
      <c r="E73" s="71">
        <f>'এপ্রিল ২০২৬'!$J$54</f>
        <v/>
      </c>
      <c r="F73" s="71">
        <f>'মে ২০২৬'!$J$54</f>
        <v/>
      </c>
      <c r="G73" s="71">
        <f>'জুন ২০২৬'!$J$54</f>
        <v/>
      </c>
      <c r="H73" s="71">
        <f>'জুলাই ২০২৬'!$J$54</f>
        <v/>
      </c>
      <c r="I73" s="71">
        <f>'আগস্ট ২০২৬'!$J$54</f>
        <v/>
      </c>
      <c r="J73" s="71">
        <f>'সেপ্টেম্বর ২০২৬'!$J$54</f>
        <v/>
      </c>
      <c r="K73" s="71">
        <f>'অক্টোবর ২০২৬'!$J$54</f>
        <v/>
      </c>
      <c r="L73" s="71">
        <f>'নভেম্বর ২০২৬'!$J$54</f>
        <v/>
      </c>
      <c r="M73" s="71">
        <f>'ডিসেম্বর ২০২৬'!$J$54</f>
        <v/>
      </c>
      <c r="N73" s="69">
        <f>SUM($B73:$M73)</f>
        <v/>
      </c>
    </row>
    <row r="74" ht="15.75" customHeight="1" s="52">
      <c r="A74" s="75" t="inlineStr">
        <is>
          <t>গাড়ি / বাইক রক্ষণাবেক্ষণ</t>
        </is>
      </c>
      <c r="B74" s="68">
        <f>'জানুয়ারি ২০২৬'!$J$55</f>
        <v/>
      </c>
      <c r="C74" s="68">
        <f>'ফেব্রুয়ারি ২০২৬'!$J$55</f>
        <v/>
      </c>
      <c r="D74" s="68">
        <f>'মার্চ ২০২৬'!$J$55</f>
        <v/>
      </c>
      <c r="E74" s="68">
        <f>'এপ্রিল ২০২৬'!$J$55</f>
        <v/>
      </c>
      <c r="F74" s="68">
        <f>'মে ২০২৬'!$J$55</f>
        <v/>
      </c>
      <c r="G74" s="68">
        <f>'জুন ২০২৬'!$J$55</f>
        <v/>
      </c>
      <c r="H74" s="68">
        <f>'জুলাই ২০২৬'!$J$55</f>
        <v/>
      </c>
      <c r="I74" s="68">
        <f>'আগস্ট ২০২৬'!$J$55</f>
        <v/>
      </c>
      <c r="J74" s="68">
        <f>'সেপ্টেম্বর ২০২৬'!$J$55</f>
        <v/>
      </c>
      <c r="K74" s="68">
        <f>'অক্টোবর ২০২৬'!$J$55</f>
        <v/>
      </c>
      <c r="L74" s="68">
        <f>'নভেম্বর ২০২৬'!$J$55</f>
        <v/>
      </c>
      <c r="M74" s="68">
        <f>'ডিসেম্বর ২০২৬'!$J$55</f>
        <v/>
      </c>
      <c r="N74" s="69">
        <f>SUM($B74:$M74)</f>
        <v/>
      </c>
    </row>
    <row r="75" ht="15.75" customHeight="1" s="52">
      <c r="A75" s="76" t="inlineStr">
        <is>
          <t>পার্কিং ও টোল</t>
        </is>
      </c>
      <c r="B75" s="71">
        <f>'জানুয়ারি ২০২৬'!$J$56</f>
        <v/>
      </c>
      <c r="C75" s="71">
        <f>'ফেব্রুয়ারি ২০২৬'!$J$56</f>
        <v/>
      </c>
      <c r="D75" s="71">
        <f>'মার্চ ২০২৬'!$J$56</f>
        <v/>
      </c>
      <c r="E75" s="71">
        <f>'এপ্রিল ২০২৬'!$J$56</f>
        <v/>
      </c>
      <c r="F75" s="71">
        <f>'মে ২০২৬'!$J$56</f>
        <v/>
      </c>
      <c r="G75" s="71">
        <f>'জুন ২০২৬'!$J$56</f>
        <v/>
      </c>
      <c r="H75" s="71">
        <f>'জুলাই ২০২৬'!$J$56</f>
        <v/>
      </c>
      <c r="I75" s="71">
        <f>'আগস্ট ২০২৬'!$J$56</f>
        <v/>
      </c>
      <c r="J75" s="71">
        <f>'সেপ্টেম্বর ২০২৬'!$J$56</f>
        <v/>
      </c>
      <c r="K75" s="71">
        <f>'অক্টোবর ২০২৬'!$J$56</f>
        <v/>
      </c>
      <c r="L75" s="71">
        <f>'নভেম্বর ২০২৬'!$J$56</f>
        <v/>
      </c>
      <c r="M75" s="71">
        <f>'ডিসেম্বর ২০২৬'!$J$56</f>
        <v/>
      </c>
      <c r="N75" s="69">
        <f>SUM($B75:$M75)</f>
        <v/>
      </c>
    </row>
    <row r="76" ht="15.75" customHeight="1" s="52">
      <c r="A76" s="75" t="inlineStr">
        <is>
          <t>ওষুধ</t>
        </is>
      </c>
      <c r="B76" s="68">
        <f>'জানুয়ারি ২০২৬'!$J$57</f>
        <v/>
      </c>
      <c r="C76" s="68">
        <f>'ফেব্রুয়ারি ২০২৬'!$J$57</f>
        <v/>
      </c>
      <c r="D76" s="68">
        <f>'মার্চ ২০২৬'!$J$57</f>
        <v/>
      </c>
      <c r="E76" s="68">
        <f>'এপ্রিল ২০২৬'!$J$57</f>
        <v/>
      </c>
      <c r="F76" s="68">
        <f>'মে ২০২৬'!$J$57</f>
        <v/>
      </c>
      <c r="G76" s="68">
        <f>'জুন ২০২৬'!$J$57</f>
        <v/>
      </c>
      <c r="H76" s="68">
        <f>'জুলাই ২০২৬'!$J$57</f>
        <v/>
      </c>
      <c r="I76" s="68">
        <f>'আগস্ট ২০২৬'!$J$57</f>
        <v/>
      </c>
      <c r="J76" s="68">
        <f>'সেপ্টেম্বর ২০২৬'!$J$57</f>
        <v/>
      </c>
      <c r="K76" s="68">
        <f>'অক্টোবর ২০২৬'!$J$57</f>
        <v/>
      </c>
      <c r="L76" s="68">
        <f>'নভেম্বর ২০২৬'!$J$57</f>
        <v/>
      </c>
      <c r="M76" s="68">
        <f>'ডিসেম্বর ২০২৬'!$J$57</f>
        <v/>
      </c>
      <c r="N76" s="69">
        <f>SUM($B76:$M76)</f>
        <v/>
      </c>
    </row>
    <row r="77" ht="15.75" customHeight="1" s="52">
      <c r="A77" s="76" t="inlineStr">
        <is>
          <t>ডাক্তারের ফি</t>
        </is>
      </c>
      <c r="B77" s="71">
        <f>'জানুয়ারি ২০২৬'!$J$58</f>
        <v/>
      </c>
      <c r="C77" s="71">
        <f>'ফেব্রুয়ারি ২০২৬'!$J$58</f>
        <v/>
      </c>
      <c r="D77" s="71">
        <f>'মার্চ ২০২৬'!$J$58</f>
        <v/>
      </c>
      <c r="E77" s="71">
        <f>'এপ্রিল ২০২৬'!$J$58</f>
        <v/>
      </c>
      <c r="F77" s="71">
        <f>'মে ২০২৬'!$J$58</f>
        <v/>
      </c>
      <c r="G77" s="71">
        <f>'জুন ২০২৬'!$J$58</f>
        <v/>
      </c>
      <c r="H77" s="71">
        <f>'জুলাই ২০২৬'!$J$58</f>
        <v/>
      </c>
      <c r="I77" s="71">
        <f>'আগস্ট ২০২৬'!$J$58</f>
        <v/>
      </c>
      <c r="J77" s="71">
        <f>'সেপ্টেম্বর ২০২৬'!$J$58</f>
        <v/>
      </c>
      <c r="K77" s="71">
        <f>'অক্টোবর ২০২৬'!$J$58</f>
        <v/>
      </c>
      <c r="L77" s="71">
        <f>'নভেম্বর ২০২৬'!$J$58</f>
        <v/>
      </c>
      <c r="M77" s="71">
        <f>'ডিসেম্বর ২০২৬'!$J$58</f>
        <v/>
      </c>
      <c r="N77" s="69">
        <f>SUM($B77:$M77)</f>
        <v/>
      </c>
    </row>
    <row r="78" ht="15.75" customHeight="1" s="52">
      <c r="A78" s="75" t="inlineStr">
        <is>
          <t>চিকিৎসা পরীক্ষা</t>
        </is>
      </c>
      <c r="B78" s="68">
        <f>'জানুয়ারি ২০২৬'!$J$59</f>
        <v/>
      </c>
      <c r="C78" s="68">
        <f>'ফেব্রুয়ারি ২০২৬'!$J$59</f>
        <v/>
      </c>
      <c r="D78" s="68">
        <f>'মার্চ ২০২৬'!$J$59</f>
        <v/>
      </c>
      <c r="E78" s="68">
        <f>'এপ্রিল ২০২৬'!$J$59</f>
        <v/>
      </c>
      <c r="F78" s="68">
        <f>'মে ২০২৬'!$J$59</f>
        <v/>
      </c>
      <c r="G78" s="68">
        <f>'জুন ২০২৬'!$J$59</f>
        <v/>
      </c>
      <c r="H78" s="68">
        <f>'জুলাই ২০২৬'!$J$59</f>
        <v/>
      </c>
      <c r="I78" s="68">
        <f>'আগস্ট ২০২৬'!$J$59</f>
        <v/>
      </c>
      <c r="J78" s="68">
        <f>'সেপ্টেম্বর ২০২৬'!$J$59</f>
        <v/>
      </c>
      <c r="K78" s="68">
        <f>'অক্টোবর ২০২৬'!$J$59</f>
        <v/>
      </c>
      <c r="L78" s="68">
        <f>'নভেম্বর ২০২৬'!$J$59</f>
        <v/>
      </c>
      <c r="M78" s="68">
        <f>'ডিসেম্বর ২০২৬'!$J$59</f>
        <v/>
      </c>
      <c r="N78" s="69">
        <f>SUM($B78:$M78)</f>
        <v/>
      </c>
    </row>
    <row r="79" ht="15.75" customHeight="1" s="52">
      <c r="A79" s="76" t="inlineStr">
        <is>
          <t>স্বাস্থ্য বীমা</t>
        </is>
      </c>
      <c r="B79" s="71">
        <f>'জানুয়ারি ২০২৬'!$J$60</f>
        <v/>
      </c>
      <c r="C79" s="71">
        <f>'ফেব্রুয়ারি ২০২৬'!$J$60</f>
        <v/>
      </c>
      <c r="D79" s="71">
        <f>'মার্চ ২০২৬'!$J$60</f>
        <v/>
      </c>
      <c r="E79" s="71">
        <f>'এপ্রিল ২০২৬'!$J$60</f>
        <v/>
      </c>
      <c r="F79" s="71">
        <f>'মে ২০২৬'!$J$60</f>
        <v/>
      </c>
      <c r="G79" s="71">
        <f>'জুন ২০২৬'!$J$60</f>
        <v/>
      </c>
      <c r="H79" s="71">
        <f>'জুলাই ২০২৬'!$J$60</f>
        <v/>
      </c>
      <c r="I79" s="71">
        <f>'আগস্ট ২০২৬'!$J$60</f>
        <v/>
      </c>
      <c r="J79" s="71">
        <f>'সেপ্টেম্বর ২০২৬'!$J$60</f>
        <v/>
      </c>
      <c r="K79" s="71">
        <f>'অক্টোবর ২০২৬'!$J$60</f>
        <v/>
      </c>
      <c r="L79" s="71">
        <f>'নভেম্বর ২০২৬'!$J$60</f>
        <v/>
      </c>
      <c r="M79" s="71">
        <f>'ডিসেম্বর ২০২৬'!$J$60</f>
        <v/>
      </c>
      <c r="N79" s="69">
        <f>SUM($B79:$M79)</f>
        <v/>
      </c>
    </row>
    <row r="80" ht="15.75" customHeight="1" s="52">
      <c r="A80" s="75" t="inlineStr">
        <is>
          <t>স্কুল / কলেজ ফি</t>
        </is>
      </c>
      <c r="B80" s="68">
        <f>'জানুয়ারি ২০২৬'!$J$61</f>
        <v/>
      </c>
      <c r="C80" s="68">
        <f>'ফেব্রুয়ারি ২০২৬'!$J$61</f>
        <v/>
      </c>
      <c r="D80" s="68">
        <f>'মার্চ ২০২৬'!$J$61</f>
        <v/>
      </c>
      <c r="E80" s="68">
        <f>'এপ্রিল ২০২৬'!$J$61</f>
        <v/>
      </c>
      <c r="F80" s="68">
        <f>'মে ২০২৬'!$J$61</f>
        <v/>
      </c>
      <c r="G80" s="68">
        <f>'জুন ২০২৬'!$J$61</f>
        <v/>
      </c>
      <c r="H80" s="68">
        <f>'জুলাই ২০২৬'!$J$61</f>
        <v/>
      </c>
      <c r="I80" s="68">
        <f>'আগস্ট ২০২৬'!$J$61</f>
        <v/>
      </c>
      <c r="J80" s="68">
        <f>'সেপ্টেম্বর ২০২৬'!$J$61</f>
        <v/>
      </c>
      <c r="K80" s="68">
        <f>'অক্টোবর ২০২৬'!$J$61</f>
        <v/>
      </c>
      <c r="L80" s="68">
        <f>'নভেম্বর ২০২৬'!$J$61</f>
        <v/>
      </c>
      <c r="M80" s="68">
        <f>'ডিসেম্বর ২০২৬'!$J$61</f>
        <v/>
      </c>
      <c r="N80" s="69">
        <f>SUM($B80:$M80)</f>
        <v/>
      </c>
    </row>
    <row r="81" ht="15.75" customHeight="1" s="52">
      <c r="A81" s="76" t="inlineStr">
        <is>
          <t>প্রাইভেট / কোচিং</t>
        </is>
      </c>
      <c r="B81" s="71">
        <f>'জানুয়ারি ২০২৬'!$J$62</f>
        <v/>
      </c>
      <c r="C81" s="71">
        <f>'ফেব্রুয়ারি ২০২৬'!$J$62</f>
        <v/>
      </c>
      <c r="D81" s="71">
        <f>'মার্চ ২০২৬'!$J$62</f>
        <v/>
      </c>
      <c r="E81" s="71">
        <f>'এপ্রিল ২০২৬'!$J$62</f>
        <v/>
      </c>
      <c r="F81" s="71">
        <f>'মে ২০২৬'!$J$62</f>
        <v/>
      </c>
      <c r="G81" s="71">
        <f>'জুন ২০২৬'!$J$62</f>
        <v/>
      </c>
      <c r="H81" s="71">
        <f>'জুলাই ২০২৬'!$J$62</f>
        <v/>
      </c>
      <c r="I81" s="71">
        <f>'আগস্ট ২০২৬'!$J$62</f>
        <v/>
      </c>
      <c r="J81" s="71">
        <f>'সেপ্টেম্বর ২০২৬'!$J$62</f>
        <v/>
      </c>
      <c r="K81" s="71">
        <f>'অক্টোবর ২০২৬'!$J$62</f>
        <v/>
      </c>
      <c r="L81" s="71">
        <f>'নভেম্বর ২০২৬'!$J$62</f>
        <v/>
      </c>
      <c r="M81" s="71">
        <f>'ডিসেম্বর ২০২৬'!$J$62</f>
        <v/>
      </c>
      <c r="N81" s="69">
        <f>SUM($B81:$M81)</f>
        <v/>
      </c>
    </row>
    <row r="82" ht="15.75" customHeight="1" s="52">
      <c r="A82" s="75" t="inlineStr">
        <is>
          <t>বই ও শিক্ষা উপকরণ</t>
        </is>
      </c>
      <c r="B82" s="68">
        <f>'জানুয়ারি ২০২৬'!$J$63</f>
        <v/>
      </c>
      <c r="C82" s="68">
        <f>'ফেব্রুয়ারি ২০২৬'!$J$63</f>
        <v/>
      </c>
      <c r="D82" s="68">
        <f>'মার্চ ২০২৬'!$J$63</f>
        <v/>
      </c>
      <c r="E82" s="68">
        <f>'এপ্রিল ২০২৬'!$J$63</f>
        <v/>
      </c>
      <c r="F82" s="68">
        <f>'মে ২০২৬'!$J$63</f>
        <v/>
      </c>
      <c r="G82" s="68">
        <f>'জুন ২০২৬'!$J$63</f>
        <v/>
      </c>
      <c r="H82" s="68">
        <f>'জুলাই ২০২৬'!$J$63</f>
        <v/>
      </c>
      <c r="I82" s="68">
        <f>'আগস্ট ২০২৬'!$J$63</f>
        <v/>
      </c>
      <c r="J82" s="68">
        <f>'সেপ্টেম্বর ২০২৬'!$J$63</f>
        <v/>
      </c>
      <c r="K82" s="68">
        <f>'অক্টোবর ২০২৬'!$J$63</f>
        <v/>
      </c>
      <c r="L82" s="68">
        <f>'নভেম্বর ২০২৬'!$J$63</f>
        <v/>
      </c>
      <c r="M82" s="68">
        <f>'ডিসেম্বর ২০২৬'!$J$63</f>
        <v/>
      </c>
      <c r="N82" s="69">
        <f>SUM($B82:$M82)</f>
        <v/>
      </c>
    </row>
    <row r="83" ht="15.75" customHeight="1" s="52">
      <c r="A83" s="76" t="inlineStr">
        <is>
          <t>পরীক্ষার ফি</t>
        </is>
      </c>
      <c r="B83" s="71">
        <f>'জানুয়ারি ২০২৬'!$J$64</f>
        <v/>
      </c>
      <c r="C83" s="71">
        <f>'ফেব্রুয়ারি ২০২৬'!$J$64</f>
        <v/>
      </c>
      <c r="D83" s="71">
        <f>'মার্চ ২০২৬'!$J$64</f>
        <v/>
      </c>
      <c r="E83" s="71">
        <f>'এপ্রিল ২০২৬'!$J$64</f>
        <v/>
      </c>
      <c r="F83" s="71">
        <f>'মে ২০২৬'!$J$64</f>
        <v/>
      </c>
      <c r="G83" s="71">
        <f>'জুন ২০২৬'!$J$64</f>
        <v/>
      </c>
      <c r="H83" s="71">
        <f>'জুলাই ২০২৬'!$J$64</f>
        <v/>
      </c>
      <c r="I83" s="71">
        <f>'আগস্ট ২০২৬'!$J$64</f>
        <v/>
      </c>
      <c r="J83" s="71">
        <f>'সেপ্টেম্বর ২০২৬'!$J$64</f>
        <v/>
      </c>
      <c r="K83" s="71">
        <f>'অক্টোবর ২০২৬'!$J$64</f>
        <v/>
      </c>
      <c r="L83" s="71">
        <f>'নভেম্বর ২০২৬'!$J$64</f>
        <v/>
      </c>
      <c r="M83" s="71">
        <f>'ডিসেম্বর ২০২৬'!$J$64</f>
        <v/>
      </c>
      <c r="N83" s="69">
        <f>SUM($B83:$M83)</f>
        <v/>
      </c>
    </row>
    <row r="84" ht="15.75" customHeight="1" s="52">
      <c r="A84" s="75" t="inlineStr">
        <is>
          <t>পোশাক ও জুতা</t>
        </is>
      </c>
      <c r="B84" s="68">
        <f>'জানুয়ারি ২০২৬'!$J$65</f>
        <v/>
      </c>
      <c r="C84" s="68">
        <f>'ফেব্রুয়ারি ২০২৬'!$J$65</f>
        <v/>
      </c>
      <c r="D84" s="68">
        <f>'মার্চ ২০২৬'!$J$65</f>
        <v/>
      </c>
      <c r="E84" s="68">
        <f>'এপ্রিল ২০২৬'!$J$65</f>
        <v/>
      </c>
      <c r="F84" s="68">
        <f>'মে ২০২৬'!$J$65</f>
        <v/>
      </c>
      <c r="G84" s="68">
        <f>'জুন ২০২৬'!$J$65</f>
        <v/>
      </c>
      <c r="H84" s="68">
        <f>'জুলাই ২০২৬'!$J$65</f>
        <v/>
      </c>
      <c r="I84" s="68">
        <f>'আগস্ট ২০২৬'!$J$65</f>
        <v/>
      </c>
      <c r="J84" s="68">
        <f>'সেপ্টেম্বর ২০২৬'!$J$65</f>
        <v/>
      </c>
      <c r="K84" s="68">
        <f>'অক্টোবর ২০২৬'!$J$65</f>
        <v/>
      </c>
      <c r="L84" s="68">
        <f>'নভেম্বর ২০২৬'!$J$65</f>
        <v/>
      </c>
      <c r="M84" s="68">
        <f>'ডিসেম্বর ২০২৬'!$J$65</f>
        <v/>
      </c>
      <c r="N84" s="69">
        <f>SUM($B84:$M84)</f>
        <v/>
      </c>
    </row>
    <row r="85" ht="15.75" customHeight="1" s="52">
      <c r="A85" s="76" t="inlineStr">
        <is>
          <t>প্রসাধনী ও পরিচর্যা</t>
        </is>
      </c>
      <c r="B85" s="71">
        <f>'জানুয়ারি ২০২৬'!$J$66</f>
        <v/>
      </c>
      <c r="C85" s="71">
        <f>'ফেব্রুয়ারি ২০২৬'!$J$66</f>
        <v/>
      </c>
      <c r="D85" s="71">
        <f>'মার্চ ২০২৬'!$J$66</f>
        <v/>
      </c>
      <c r="E85" s="71">
        <f>'এপ্রিল ২০২৬'!$J$66</f>
        <v/>
      </c>
      <c r="F85" s="71">
        <f>'মে ২০২৬'!$J$66</f>
        <v/>
      </c>
      <c r="G85" s="71">
        <f>'জুন ২০২৬'!$J$66</f>
        <v/>
      </c>
      <c r="H85" s="71">
        <f>'জুলাই ২০২৬'!$J$66</f>
        <v/>
      </c>
      <c r="I85" s="71">
        <f>'আগস্ট ২০২৬'!$J$66</f>
        <v/>
      </c>
      <c r="J85" s="71">
        <f>'সেপ্টেম্বর ২০২৬'!$J$66</f>
        <v/>
      </c>
      <c r="K85" s="71">
        <f>'অক্টোবর ২০২৬'!$J$66</f>
        <v/>
      </c>
      <c r="L85" s="71">
        <f>'নভেম্বর ২০২৬'!$J$66</f>
        <v/>
      </c>
      <c r="M85" s="71">
        <f>'ডিসেম্বর ২০২৬'!$J$66</f>
        <v/>
      </c>
      <c r="N85" s="69">
        <f>SUM($B85:$M85)</f>
        <v/>
      </c>
    </row>
    <row r="86" ht="15.75" customHeight="1" s="52">
      <c r="A86" s="75" t="inlineStr">
        <is>
          <t>সাবান ও ডিটারজেন্ট</t>
        </is>
      </c>
      <c r="B86" s="68">
        <f>'জানুয়ারি ২০২৬'!$J$67</f>
        <v/>
      </c>
      <c r="C86" s="68">
        <f>'ফেব্রুয়ারি ২০২৬'!$J$67</f>
        <v/>
      </c>
      <c r="D86" s="68">
        <f>'মার্চ ২০২৬'!$J$67</f>
        <v/>
      </c>
      <c r="E86" s="68">
        <f>'এপ্রিল ২০২৬'!$J$67</f>
        <v/>
      </c>
      <c r="F86" s="68">
        <f>'মে ২০২৬'!$J$67</f>
        <v/>
      </c>
      <c r="G86" s="68">
        <f>'জুন ২০২৬'!$J$67</f>
        <v/>
      </c>
      <c r="H86" s="68">
        <f>'জুলাই ২০২৬'!$J$67</f>
        <v/>
      </c>
      <c r="I86" s="68">
        <f>'আগস্ট ২০২৬'!$J$67</f>
        <v/>
      </c>
      <c r="J86" s="68">
        <f>'সেপ্টেম্বর ২০২৬'!$J$67</f>
        <v/>
      </c>
      <c r="K86" s="68">
        <f>'অক্টোবর ২০২৬'!$J$67</f>
        <v/>
      </c>
      <c r="L86" s="68">
        <f>'নভেম্বর ২০২৬'!$J$67</f>
        <v/>
      </c>
      <c r="M86" s="68">
        <f>'ডিসেম্বর ২০২৬'!$J$67</f>
        <v/>
      </c>
      <c r="N86" s="69">
        <f>SUM($B86:$M86)</f>
        <v/>
      </c>
    </row>
    <row r="87" ht="15.75" customHeight="1" s="52">
      <c r="A87" s="76" t="inlineStr">
        <is>
          <t>গৃহস্থালি সামগ্রী</t>
        </is>
      </c>
      <c r="B87" s="71">
        <f>'জানুয়ারি ২০২৬'!$J$68</f>
        <v/>
      </c>
      <c r="C87" s="71">
        <f>'ফেব্রুয়ারি ২০২৬'!$J$68</f>
        <v/>
      </c>
      <c r="D87" s="71">
        <f>'মার্চ ২০২৬'!$J$68</f>
        <v/>
      </c>
      <c r="E87" s="71">
        <f>'এপ্রিল ২০২৬'!$J$68</f>
        <v/>
      </c>
      <c r="F87" s="71">
        <f>'মে ২০২৬'!$J$68</f>
        <v/>
      </c>
      <c r="G87" s="71">
        <f>'জুন ২০২৬'!$J$68</f>
        <v/>
      </c>
      <c r="H87" s="71">
        <f>'জুলাই ২০২৬'!$J$68</f>
        <v/>
      </c>
      <c r="I87" s="71">
        <f>'আগস্ট ২০২৬'!$J$68</f>
        <v/>
      </c>
      <c r="J87" s="71">
        <f>'সেপ্টেম্বর ২০২৬'!$J$68</f>
        <v/>
      </c>
      <c r="K87" s="71">
        <f>'অক্টোবর ২০২৬'!$J$68</f>
        <v/>
      </c>
      <c r="L87" s="71">
        <f>'নভেম্বর ২০২৬'!$J$68</f>
        <v/>
      </c>
      <c r="M87" s="71">
        <f>'ডিসেম্বর ২০২৬'!$J$68</f>
        <v/>
      </c>
      <c r="N87" s="69">
        <f>SUM($B87:$M87)</f>
        <v/>
      </c>
    </row>
    <row r="88" ht="15.75" customHeight="1" s="52">
      <c r="A88" s="75" t="inlineStr">
        <is>
          <t>সেলুন / পার্লার</t>
        </is>
      </c>
      <c r="B88" s="68">
        <f>'জানুয়ারি ২০২৬'!$J$69</f>
        <v/>
      </c>
      <c r="C88" s="68">
        <f>'ফেব্রুয়ারি ২০২৬'!$J$69</f>
        <v/>
      </c>
      <c r="D88" s="68">
        <f>'মার্চ ২০২৬'!$J$69</f>
        <v/>
      </c>
      <c r="E88" s="68">
        <f>'এপ্রিল ২০২৬'!$J$69</f>
        <v/>
      </c>
      <c r="F88" s="68">
        <f>'মে ২০২৬'!$J$69</f>
        <v/>
      </c>
      <c r="G88" s="68">
        <f>'জুন ২০২৬'!$J$69</f>
        <v/>
      </c>
      <c r="H88" s="68">
        <f>'জুলাই ২০২৬'!$J$69</f>
        <v/>
      </c>
      <c r="I88" s="68">
        <f>'আগস্ট ২০২৬'!$J$69</f>
        <v/>
      </c>
      <c r="J88" s="68">
        <f>'সেপ্টেম্বর ২০২৬'!$J$69</f>
        <v/>
      </c>
      <c r="K88" s="68">
        <f>'অক্টোবর ২০২৬'!$J$69</f>
        <v/>
      </c>
      <c r="L88" s="68">
        <f>'নভেম্বর ২০২৬'!$J$69</f>
        <v/>
      </c>
      <c r="M88" s="68">
        <f>'ডিসেম্বর ২০২৬'!$J$69</f>
        <v/>
      </c>
      <c r="N88" s="69">
        <f>SUM($B88:$M88)</f>
        <v/>
      </c>
    </row>
    <row r="89" ht="15.75" customHeight="1" s="52">
      <c r="A89" s="76" t="inlineStr">
        <is>
          <t>বিনোদন ও ঘোরাঘুরি</t>
        </is>
      </c>
      <c r="B89" s="71">
        <f>'জানুয়ারি ২০২৬'!$J$70</f>
        <v/>
      </c>
      <c r="C89" s="71">
        <f>'ফেব্রুয়ারি ২০২৬'!$J$70</f>
        <v/>
      </c>
      <c r="D89" s="71">
        <f>'মার্চ ২০২৬'!$J$70</f>
        <v/>
      </c>
      <c r="E89" s="71">
        <f>'এপ্রিল ২০২৬'!$J$70</f>
        <v/>
      </c>
      <c r="F89" s="71">
        <f>'মে ২০২৬'!$J$70</f>
        <v/>
      </c>
      <c r="G89" s="71">
        <f>'জুন ২০২৬'!$J$70</f>
        <v/>
      </c>
      <c r="H89" s="71">
        <f>'জুলাই ২০২৬'!$J$70</f>
        <v/>
      </c>
      <c r="I89" s="71">
        <f>'আগস্ট ২০২৬'!$J$70</f>
        <v/>
      </c>
      <c r="J89" s="71">
        <f>'সেপ্টেম্বর ২০২৬'!$J$70</f>
        <v/>
      </c>
      <c r="K89" s="71">
        <f>'অক্টোবর ২০২৬'!$J$70</f>
        <v/>
      </c>
      <c r="L89" s="71">
        <f>'নভেম্বর ২০২৬'!$J$70</f>
        <v/>
      </c>
      <c r="M89" s="71">
        <f>'ডিসেম্বর ২০২৬'!$J$70</f>
        <v/>
      </c>
      <c r="N89" s="69">
        <f>SUM($B89:$M89)</f>
        <v/>
      </c>
    </row>
    <row r="90" ht="15.75" customHeight="1" s="52">
      <c r="A90" s="75" t="inlineStr">
        <is>
          <t>উপহার ও অনুষ্ঠান</t>
        </is>
      </c>
      <c r="B90" s="68">
        <f>'জানুয়ারি ২০২৬'!$J$71</f>
        <v/>
      </c>
      <c r="C90" s="68">
        <f>'ফেব্রুয়ারি ২০২৬'!$J$71</f>
        <v/>
      </c>
      <c r="D90" s="68">
        <f>'মার্চ ২০২৬'!$J$71</f>
        <v/>
      </c>
      <c r="E90" s="68">
        <f>'এপ্রিল ২০২৬'!$J$71</f>
        <v/>
      </c>
      <c r="F90" s="68">
        <f>'মে ২০২৬'!$J$71</f>
        <v/>
      </c>
      <c r="G90" s="68">
        <f>'জুন ২০২৬'!$J$71</f>
        <v/>
      </c>
      <c r="H90" s="68">
        <f>'জুলাই ২০২৬'!$J$71</f>
        <v/>
      </c>
      <c r="I90" s="68">
        <f>'আগস্ট ২০২৬'!$J$71</f>
        <v/>
      </c>
      <c r="J90" s="68">
        <f>'সেপ্টেম্বর ২০২৬'!$J$71</f>
        <v/>
      </c>
      <c r="K90" s="68">
        <f>'অক্টোবর ২০২৬'!$J$71</f>
        <v/>
      </c>
      <c r="L90" s="68">
        <f>'নভেম্বর ২০২৬'!$J$71</f>
        <v/>
      </c>
      <c r="M90" s="68">
        <f>'ডিসেম্বর ২০২৬'!$J$71</f>
        <v/>
      </c>
      <c r="N90" s="69">
        <f>SUM($B90:$M90)</f>
        <v/>
      </c>
    </row>
    <row r="91" ht="15.75" customHeight="1" s="52">
      <c r="A91" s="76" t="inlineStr">
        <is>
          <t>দান ও যাকাত</t>
        </is>
      </c>
      <c r="B91" s="71">
        <f>'জানুয়ারি ২০২৬'!$J$72</f>
        <v/>
      </c>
      <c r="C91" s="71">
        <f>'ফেব্রুয়ারি ২০২৬'!$J$72</f>
        <v/>
      </c>
      <c r="D91" s="71">
        <f>'মার্চ ২০২৬'!$J$72</f>
        <v/>
      </c>
      <c r="E91" s="71">
        <f>'এপ্রিল ২০২৬'!$J$72</f>
        <v/>
      </c>
      <c r="F91" s="71">
        <f>'মে ২০২৬'!$J$72</f>
        <v/>
      </c>
      <c r="G91" s="71">
        <f>'জুন ২০২৬'!$J$72</f>
        <v/>
      </c>
      <c r="H91" s="71">
        <f>'জুলাই ২০২৬'!$J$72</f>
        <v/>
      </c>
      <c r="I91" s="71">
        <f>'আগস্ট ২০২৬'!$J$72</f>
        <v/>
      </c>
      <c r="J91" s="71">
        <f>'সেপ্টেম্বর ২০২৬'!$J$72</f>
        <v/>
      </c>
      <c r="K91" s="71">
        <f>'অক্টোবর ২০২৬'!$J$72</f>
        <v/>
      </c>
      <c r="L91" s="71">
        <f>'নভেম্বর ২০২৬'!$J$72</f>
        <v/>
      </c>
      <c r="M91" s="71">
        <f>'ডিসেম্বর ২০২৬'!$J$72</f>
        <v/>
      </c>
      <c r="N91" s="69">
        <f>SUM($B91:$M91)</f>
        <v/>
      </c>
    </row>
    <row r="92" ht="15.75" customHeight="1" s="52">
      <c r="A92" s="75" t="inlineStr">
        <is>
          <t>সঞ্চয় ও বিনিয়োগ</t>
        </is>
      </c>
      <c r="B92" s="68">
        <f>'জানুয়ারি ২০২৬'!$J$73</f>
        <v/>
      </c>
      <c r="C92" s="68">
        <f>'ফেব্রুয়ারি ২০২৬'!$J$73</f>
        <v/>
      </c>
      <c r="D92" s="68">
        <f>'মার্চ ২০২৬'!$J$73</f>
        <v/>
      </c>
      <c r="E92" s="68">
        <f>'এপ্রিল ২০২৬'!$J$73</f>
        <v/>
      </c>
      <c r="F92" s="68">
        <f>'মে ২০২৬'!$J$73</f>
        <v/>
      </c>
      <c r="G92" s="68">
        <f>'জুন ২০২৬'!$J$73</f>
        <v/>
      </c>
      <c r="H92" s="68">
        <f>'জুলাই ২০২৬'!$J$73</f>
        <v/>
      </c>
      <c r="I92" s="68">
        <f>'আগস্ট ২০২৬'!$J$73</f>
        <v/>
      </c>
      <c r="J92" s="68">
        <f>'সেপ্টেম্বর ২০২৬'!$J$73</f>
        <v/>
      </c>
      <c r="K92" s="68">
        <f>'অক্টোবর ২০২৬'!$J$73</f>
        <v/>
      </c>
      <c r="L92" s="68">
        <f>'নভেম্বর ২০২৬'!$J$73</f>
        <v/>
      </c>
      <c r="M92" s="68">
        <f>'ডিসেম্বর ২০২৬'!$J$73</f>
        <v/>
      </c>
      <c r="N92" s="69">
        <f>SUM($B92:$M92)</f>
        <v/>
      </c>
    </row>
    <row r="93" ht="15.75" customHeight="1" s="52">
      <c r="A93" s="76" t="inlineStr">
        <is>
          <t>ঋণ পরিশোধ / কিস্তি</t>
        </is>
      </c>
      <c r="B93" s="71">
        <f>'জানুয়ারি ২০২৬'!$J$74</f>
        <v/>
      </c>
      <c r="C93" s="71">
        <f>'ফেব্রুয়ারি ২০২৬'!$J$74</f>
        <v/>
      </c>
      <c r="D93" s="71">
        <f>'মার্চ ২০২৬'!$J$74</f>
        <v/>
      </c>
      <c r="E93" s="71">
        <f>'এপ্রিল ২০২৬'!$J$74</f>
        <v/>
      </c>
      <c r="F93" s="71">
        <f>'মে ২০২৬'!$J$74</f>
        <v/>
      </c>
      <c r="G93" s="71">
        <f>'জুন ২০২৬'!$J$74</f>
        <v/>
      </c>
      <c r="H93" s="71">
        <f>'জুলাই ২০২৬'!$J$74</f>
        <v/>
      </c>
      <c r="I93" s="71">
        <f>'আগস্ট ২০২৬'!$J$74</f>
        <v/>
      </c>
      <c r="J93" s="71">
        <f>'সেপ্টেম্বর ২০২৬'!$J$74</f>
        <v/>
      </c>
      <c r="K93" s="71">
        <f>'অক্টোবর ২০২৬'!$J$74</f>
        <v/>
      </c>
      <c r="L93" s="71">
        <f>'নভেম্বর ২০২৬'!$J$74</f>
        <v/>
      </c>
      <c r="M93" s="71">
        <f>'ডিসেম্বর ২০২৬'!$J$74</f>
        <v/>
      </c>
      <c r="N93" s="69">
        <f>SUM($B93:$M93)</f>
        <v/>
      </c>
    </row>
    <row r="94" ht="15.75" customHeight="1" s="52">
      <c r="A94" s="75" t="inlineStr">
        <is>
          <t>বীমা প্রিমিয়াম</t>
        </is>
      </c>
      <c r="B94" s="68">
        <f>'জানুয়ারি ২০২৬'!$J$75</f>
        <v/>
      </c>
      <c r="C94" s="68">
        <f>'ফেব্রুয়ারি ২০২৬'!$J$75</f>
        <v/>
      </c>
      <c r="D94" s="68">
        <f>'মার্চ ২০২৬'!$J$75</f>
        <v/>
      </c>
      <c r="E94" s="68">
        <f>'এপ্রিল ২০২৬'!$J$75</f>
        <v/>
      </c>
      <c r="F94" s="68">
        <f>'মে ২০২৬'!$J$75</f>
        <v/>
      </c>
      <c r="G94" s="68">
        <f>'জুন ২০২৬'!$J$75</f>
        <v/>
      </c>
      <c r="H94" s="68">
        <f>'জুলাই ২০২৬'!$J$75</f>
        <v/>
      </c>
      <c r="I94" s="68">
        <f>'আগস্ট ২০২৬'!$J$75</f>
        <v/>
      </c>
      <c r="J94" s="68">
        <f>'সেপ্টেম্বর ২০২৬'!$J$75</f>
        <v/>
      </c>
      <c r="K94" s="68">
        <f>'অক্টোবর ২০২৬'!$J$75</f>
        <v/>
      </c>
      <c r="L94" s="68">
        <f>'নভেম্বর ২০২৬'!$J$75</f>
        <v/>
      </c>
      <c r="M94" s="68">
        <f>'ডিসেম্বর ২০২৬'!$J$75</f>
        <v/>
      </c>
      <c r="N94" s="69">
        <f>SUM($B94:$M94)</f>
        <v/>
      </c>
    </row>
    <row r="95" ht="15.75" customHeight="1" s="52">
      <c r="A95" s="76" t="inlineStr">
        <is>
          <t>অন্যান্য খরচ</t>
        </is>
      </c>
      <c r="B95" s="71">
        <f>'জানুয়ারি ২০২৬'!$J$76</f>
        <v/>
      </c>
      <c r="C95" s="71">
        <f>'ফেব্রুয়ারি ২০২৬'!$J$76</f>
        <v/>
      </c>
      <c r="D95" s="71">
        <f>'মার্চ ২০২৬'!$J$76</f>
        <v/>
      </c>
      <c r="E95" s="71">
        <f>'এপ্রিল ২০২৬'!$J$76</f>
        <v/>
      </c>
      <c r="F95" s="71">
        <f>'মে ২০২৬'!$J$76</f>
        <v/>
      </c>
      <c r="G95" s="71">
        <f>'জুন ২০২৬'!$J$76</f>
        <v/>
      </c>
      <c r="H95" s="71">
        <f>'জুলাই ২০২৬'!$J$76</f>
        <v/>
      </c>
      <c r="I95" s="71">
        <f>'আগস্ট ২০২৬'!$J$76</f>
        <v/>
      </c>
      <c r="J95" s="71">
        <f>'সেপ্টেম্বর ২০২৬'!$J$76</f>
        <v/>
      </c>
      <c r="K95" s="71">
        <f>'অক্টোবর ২০২৬'!$J$76</f>
        <v/>
      </c>
      <c r="L95" s="71">
        <f>'নভেম্বর ২০২৬'!$J$76</f>
        <v/>
      </c>
      <c r="M95" s="71">
        <f>'ডিসেম্বর ২০২৬'!$J$76</f>
        <v/>
      </c>
      <c r="N95" s="69">
        <f>SUM($B95:$M95)</f>
        <v/>
      </c>
    </row>
    <row r="96" ht="15.75" customHeight="1" s="52">
      <c r="A96" s="72" t="inlineStr">
        <is>
          <t>সর্বমোট</t>
        </is>
      </c>
      <c r="B96" s="73">
        <f>SUM(B42:B95)</f>
        <v/>
      </c>
      <c r="C96" s="73">
        <f>SUM(C42:C95)</f>
        <v/>
      </c>
      <c r="D96" s="73">
        <f>SUM(D42:D95)</f>
        <v/>
      </c>
      <c r="E96" s="73">
        <f>SUM(E42:E95)</f>
        <v/>
      </c>
      <c r="F96" s="73">
        <f>SUM(F42:F95)</f>
        <v/>
      </c>
      <c r="G96" s="73">
        <f>SUM(G42:G95)</f>
        <v/>
      </c>
      <c r="H96" s="73">
        <f>SUM(H42:H95)</f>
        <v/>
      </c>
      <c r="I96" s="73">
        <f>SUM(I42:I95)</f>
        <v/>
      </c>
      <c r="J96" s="73">
        <f>SUM(J42:J95)</f>
        <v/>
      </c>
      <c r="K96" s="73">
        <f>SUM(K42:K95)</f>
        <v/>
      </c>
      <c r="L96" s="73">
        <f>SUM(L42:L95)</f>
        <v/>
      </c>
      <c r="M96" s="73">
        <f>SUM(M42:M95)</f>
        <v/>
      </c>
      <c r="N96" s="73">
        <f>SUM($N$42:$N$95)</f>
        <v/>
      </c>
    </row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12">
    <mergeCell ref="A40:N40"/>
    <mergeCell ref="J5:L5"/>
    <mergeCell ref="D5:F5"/>
    <mergeCell ref="A5:C5"/>
    <mergeCell ref="G5:I5"/>
    <mergeCell ref="D4:F4"/>
    <mergeCell ref="A2:N2"/>
    <mergeCell ref="A7:N7"/>
    <mergeCell ref="G4:I4"/>
    <mergeCell ref="J4:L4"/>
    <mergeCell ref="A4:C4"/>
    <mergeCell ref="A1:N1"/>
  </mergeCells>
  <conditionalFormatting sqref="B19:N19">
    <cfRule type="expression" rank="0" priority="2" equalAverage="0" aboveAverage="0" dxfId="0" text="" percent="0" bottom="0">
      <formula>B19&lt;&gt;0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1F3864"/>
    <outlinePr summaryBelow="1" summaryRight="1"/>
    <pageSetUpPr/>
  </sheetPr>
  <dimension ref="A1:J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style="52" min="1" max="1"/>
    <col width="26" customWidth="1" style="52" min="2" max="2"/>
    <col width="22" customWidth="1" style="52" min="3" max="3"/>
    <col width="15" customWidth="1" style="52" min="4" max="4"/>
    <col width="34" customWidth="1" style="52" min="5" max="5"/>
    <col width="14" customWidth="1" style="52" min="6" max="6"/>
    <col width="18" customWidth="1" style="52" min="7" max="7"/>
    <col width="3" customWidth="1" style="52" min="8" max="8"/>
    <col width="34" customWidth="1" style="52" min="9" max="9"/>
    <col width="17" customWidth="1" style="52" min="10" max="10"/>
  </cols>
  <sheetData>
    <row r="1" ht="25.5" customHeight="1" s="52">
      <c r="A1" s="77" t="inlineStr">
        <is>
          <t>ধার-দেনা  —  কে কত পাবে / দেবে</t>
        </is>
      </c>
      <c r="I1" s="78" t="inlineStr">
        <is>
          <t>সারসংক্ষেপ</t>
        </is>
      </c>
    </row>
    <row r="2" ht="15.75" customHeight="1" s="52">
      <c r="A2" s="79" t="inlineStr">
        <is>
          <t>অ্যাপ থেকে সিঙ্ক করলে এই শিটের ৪–১০৩ সারি সম্পূর্ণ নতুন করে লেখা হয়। ‘অবস্থা’ কলাম স্বয়ংক্রিয় — এখানে কিছু লিখবেন না। ‘বাকি’ মানে এখনো অপরিশোধিত অংশ, মূল ধারের পরিমাণ নয়।</t>
        </is>
      </c>
    </row>
    <row r="3" ht="21.75" customHeight="1" s="52">
      <c r="A3" s="80" t="inlineStr">
        <is>
          <t>তারিখ</t>
        </is>
      </c>
      <c r="B3" s="80" t="inlineStr">
        <is>
          <t>কার সাথে</t>
        </is>
      </c>
      <c r="C3" s="80" t="inlineStr">
        <is>
          <t>ধরন</t>
        </is>
      </c>
      <c r="D3" s="80" t="inlineStr">
        <is>
          <t>বাকি (৳)</t>
        </is>
      </c>
      <c r="E3" s="80" t="inlineStr">
        <is>
          <t>নোট</t>
        </is>
      </c>
      <c r="F3" s="80" t="inlineStr">
        <is>
          <t>অবস্থা</t>
        </is>
      </c>
      <c r="G3" s="80" t="inlineStr">
        <is>
          <t>পরিশোধের তারিখ</t>
        </is>
      </c>
      <c r="I3" s="80" t="inlineStr">
        <is>
          <t>হিসাব</t>
        </is>
      </c>
      <c r="J3" s="80" t="inlineStr">
        <is>
          <t>মোট (৳)</t>
        </is>
      </c>
    </row>
    <row r="4" ht="15" customHeight="1" s="52">
      <c r="A4" s="81" t="n"/>
      <c r="B4" s="82" t="n"/>
      <c r="C4" s="82" t="n"/>
      <c r="D4" s="83" t="n"/>
      <c r="E4" s="82" t="n"/>
      <c r="F4" s="84">
        <f>IF($A4="","",IF($G4="","চলমান","পরিশোধিত"))</f>
        <v/>
      </c>
      <c r="G4" s="81" t="n"/>
      <c r="I4" s="85" t="inlineStr">
        <is>
          <t>মোট পাবো (ধার দিয়েছি) — চলমান</t>
        </is>
      </c>
      <c r="J4" s="86">
        <f>SUMIFS($D$4:$D$103,$C$4:$C$103,"ধার দিয়েছি",$G$4:$G$103,"")</f>
        <v/>
      </c>
    </row>
    <row r="5" ht="15" customHeight="1" s="52">
      <c r="A5" s="81" t="n"/>
      <c r="B5" s="82" t="n"/>
      <c r="C5" s="82" t="n"/>
      <c r="D5" s="83" t="n"/>
      <c r="E5" s="82" t="n"/>
      <c r="F5" s="84">
        <f>IF($A5="","",IF($G5="","চলমান","পরিশোধিত"))</f>
        <v/>
      </c>
      <c r="G5" s="81" t="n"/>
      <c r="I5" s="85" t="inlineStr">
        <is>
          <t>মোট দেবো (ধার নিয়েছি) — চলমান</t>
        </is>
      </c>
      <c r="J5" s="86">
        <f>SUMIFS($D$4:$D$103,$C$4:$C$103,"ধার নিয়েছি",$G$4:$G$103,"")</f>
        <v/>
      </c>
    </row>
    <row r="6" ht="15" customHeight="1" s="52">
      <c r="A6" s="81" t="n"/>
      <c r="B6" s="82" t="n"/>
      <c r="C6" s="82" t="n"/>
      <c r="D6" s="83" t="n"/>
      <c r="E6" s="82" t="n"/>
      <c r="F6" s="84">
        <f>IF($A6="","",IF($G6="","চলমান","পরিশোধিত"))</f>
        <v/>
      </c>
      <c r="G6" s="81" t="n"/>
      <c r="I6" s="87" t="inlineStr">
        <is>
          <t>নিট অবস্থান  (পাবো − দেবো)</t>
        </is>
      </c>
      <c r="J6" s="88">
        <f>$J$4-$J$5</f>
        <v/>
      </c>
    </row>
    <row r="7" ht="15" customHeight="1" s="52">
      <c r="A7" s="81" t="n"/>
      <c r="B7" s="82" t="n"/>
      <c r="C7" s="82" t="n"/>
      <c r="D7" s="83" t="n"/>
      <c r="E7" s="82" t="n"/>
      <c r="F7" s="84">
        <f>IF($A7="","",IF($G7="","চলমান","পরিশোধিত"))</f>
        <v/>
      </c>
      <c r="G7" s="81" t="n"/>
      <c r="I7" s="85" t="inlineStr">
        <is>
          <t>পরিশোধিত (মোট)</t>
        </is>
      </c>
      <c r="J7" s="86">
        <f>SUMIFS($D$4:$D$103,$G$4:$G$103,"&lt;&gt;")</f>
        <v/>
      </c>
    </row>
    <row r="8" ht="15" customHeight="1" s="52">
      <c r="A8" s="81" t="n"/>
      <c r="B8" s="82" t="n"/>
      <c r="C8" s="82" t="n"/>
      <c r="D8" s="83" t="n"/>
      <c r="E8" s="82" t="n"/>
      <c r="F8" s="84">
        <f>IF($A8="","",IF($G8="","চলমান","পরিশোধিত"))</f>
        <v/>
      </c>
      <c r="G8" s="81" t="n"/>
      <c r="I8" s="85" t="inlineStr">
        <is>
          <t>চলমান এন্ট্রি</t>
        </is>
      </c>
      <c r="J8" s="89">
        <f>COUNTIFS($A$4:$A$103,"&lt;&gt;",$G$4:$G$103,"")</f>
        <v/>
      </c>
    </row>
    <row r="9" ht="15" customHeight="1" s="52">
      <c r="A9" s="81" t="n"/>
      <c r="B9" s="82" t="n"/>
      <c r="C9" s="82" t="n"/>
      <c r="D9" s="83" t="n"/>
      <c r="E9" s="82" t="n"/>
      <c r="F9" s="84">
        <f>IF($A9="","",IF($G9="","চলমান","পরিশোধিত"))</f>
        <v/>
      </c>
      <c r="G9" s="81" t="n"/>
      <c r="I9" s="85" t="inlineStr">
        <is>
          <t>মোট এন্ট্রি</t>
        </is>
      </c>
      <c r="J9" s="89">
        <f>COUNTIF($A$4:$A$103,"&lt;&gt;")</f>
        <v/>
      </c>
    </row>
    <row r="10" ht="15" customHeight="1" s="52">
      <c r="A10" s="81" t="n"/>
      <c r="B10" s="82" t="n"/>
      <c r="C10" s="82" t="n"/>
      <c r="D10" s="83" t="n"/>
      <c r="E10" s="82" t="n"/>
      <c r="F10" s="84">
        <f>IF($A10="","",IF($G10="","চলমান","পরিশোধিত"))</f>
        <v/>
      </c>
      <c r="G10" s="81" t="n"/>
    </row>
    <row r="11" ht="15" customHeight="1" s="52">
      <c r="A11" s="81" t="n"/>
      <c r="B11" s="82" t="n"/>
      <c r="C11" s="82" t="n"/>
      <c r="D11" s="83" t="n"/>
      <c r="E11" s="82" t="n"/>
      <c r="F11" s="84">
        <f>IF($A11="","",IF($G11="","চলমান","পরিশোধিত"))</f>
        <v/>
      </c>
      <c r="G11" s="81" t="n"/>
    </row>
    <row r="12" ht="15" customHeight="1" s="52">
      <c r="A12" s="81" t="n"/>
      <c r="B12" s="82" t="n"/>
      <c r="C12" s="82" t="n"/>
      <c r="D12" s="83" t="n"/>
      <c r="E12" s="82" t="n"/>
      <c r="F12" s="84">
        <f>IF($A12="","",IF($G12="","চলমান","পরিশোধিত"))</f>
        <v/>
      </c>
      <c r="G12" s="81" t="n"/>
    </row>
    <row r="13" ht="15" customHeight="1" s="52">
      <c r="A13" s="81" t="n"/>
      <c r="B13" s="82" t="n"/>
      <c r="C13" s="82" t="n"/>
      <c r="D13" s="83" t="n"/>
      <c r="E13" s="82" t="n"/>
      <c r="F13" s="84">
        <f>IF($A13="","",IF($G13="","চলমান","পরিশোধিত"))</f>
        <v/>
      </c>
      <c r="G13" s="81" t="n"/>
    </row>
    <row r="14" ht="15" customHeight="1" s="52">
      <c r="A14" s="81" t="n"/>
      <c r="B14" s="82" t="n"/>
      <c r="C14" s="82" t="n"/>
      <c r="D14" s="83" t="n"/>
      <c r="E14" s="82" t="n"/>
      <c r="F14" s="84">
        <f>IF($A14="","",IF($G14="","চলমান","পরিশোধিত"))</f>
        <v/>
      </c>
      <c r="G14" s="81" t="n"/>
    </row>
    <row r="15" ht="15" customHeight="1" s="52">
      <c r="A15" s="81" t="n"/>
      <c r="B15" s="82" t="n"/>
      <c r="C15" s="82" t="n"/>
      <c r="D15" s="83" t="n"/>
      <c r="E15" s="82" t="n"/>
      <c r="F15" s="84">
        <f>IF($A15="","",IF($G15="","চলমান","পরিশোধিত"))</f>
        <v/>
      </c>
      <c r="G15" s="81" t="n"/>
    </row>
    <row r="16" ht="15" customHeight="1" s="52">
      <c r="A16" s="81" t="n"/>
      <c r="B16" s="82" t="n"/>
      <c r="C16" s="82" t="n"/>
      <c r="D16" s="83" t="n"/>
      <c r="E16" s="82" t="n"/>
      <c r="F16" s="84">
        <f>IF($A16="","",IF($G16="","চলমান","পরিশোধিত"))</f>
        <v/>
      </c>
      <c r="G16" s="81" t="n"/>
    </row>
    <row r="17" ht="15" customHeight="1" s="52">
      <c r="A17" s="81" t="n"/>
      <c r="B17" s="82" t="n"/>
      <c r="C17" s="82" t="n"/>
      <c r="D17" s="83" t="n"/>
      <c r="E17" s="82" t="n"/>
      <c r="F17" s="84">
        <f>IF($A17="","",IF($G17="","চলমান","পরিশোধিত"))</f>
        <v/>
      </c>
      <c r="G17" s="81" t="n"/>
    </row>
    <row r="18" ht="15" customHeight="1" s="52">
      <c r="A18" s="81" t="n"/>
      <c r="B18" s="82" t="n"/>
      <c r="C18" s="82" t="n"/>
      <c r="D18" s="83" t="n"/>
      <c r="E18" s="82" t="n"/>
      <c r="F18" s="84">
        <f>IF($A18="","",IF($G18="","চলমান","পরিশোধিত"))</f>
        <v/>
      </c>
      <c r="G18" s="81" t="n"/>
    </row>
    <row r="19" ht="15" customHeight="1" s="52">
      <c r="A19" s="81" t="n"/>
      <c r="B19" s="82" t="n"/>
      <c r="C19" s="82" t="n"/>
      <c r="D19" s="83" t="n"/>
      <c r="E19" s="82" t="n"/>
      <c r="F19" s="84">
        <f>IF($A19="","",IF($G19="","চলমান","পরিশোধিত"))</f>
        <v/>
      </c>
      <c r="G19" s="81" t="n"/>
    </row>
    <row r="20" ht="15" customHeight="1" s="52">
      <c r="A20" s="81" t="n"/>
      <c r="B20" s="82" t="n"/>
      <c r="C20" s="82" t="n"/>
      <c r="D20" s="83" t="n"/>
      <c r="E20" s="82" t="n"/>
      <c r="F20" s="84">
        <f>IF($A20="","",IF($G20="","চলমান","পরিশোধিত"))</f>
        <v/>
      </c>
      <c r="G20" s="81" t="n"/>
    </row>
    <row r="21" ht="15" customHeight="1" s="52">
      <c r="A21" s="81" t="n"/>
      <c r="B21" s="82" t="n"/>
      <c r="C21" s="82" t="n"/>
      <c r="D21" s="83" t="n"/>
      <c r="E21" s="82" t="n"/>
      <c r="F21" s="84">
        <f>IF($A21="","",IF($G21="","চলমান","পরিশোধিত"))</f>
        <v/>
      </c>
      <c r="G21" s="81" t="n"/>
    </row>
    <row r="22" ht="15" customHeight="1" s="52">
      <c r="A22" s="81" t="n"/>
      <c r="B22" s="82" t="n"/>
      <c r="C22" s="82" t="n"/>
      <c r="D22" s="83" t="n"/>
      <c r="E22" s="82" t="n"/>
      <c r="F22" s="84">
        <f>IF($A22="","",IF($G22="","চলমান","পরিশোধিত"))</f>
        <v/>
      </c>
      <c r="G22" s="81" t="n"/>
    </row>
    <row r="23" ht="15" customHeight="1" s="52">
      <c r="A23" s="81" t="n"/>
      <c r="B23" s="82" t="n"/>
      <c r="C23" s="82" t="n"/>
      <c r="D23" s="83" t="n"/>
      <c r="E23" s="82" t="n"/>
      <c r="F23" s="84">
        <f>IF($A23="","",IF($G23="","চলমান","পরিশোধিত"))</f>
        <v/>
      </c>
      <c r="G23" s="81" t="n"/>
    </row>
    <row r="24" ht="15" customHeight="1" s="52">
      <c r="A24" s="81" t="n"/>
      <c r="B24" s="82" t="n"/>
      <c r="C24" s="82" t="n"/>
      <c r="D24" s="83" t="n"/>
      <c r="E24" s="82" t="n"/>
      <c r="F24" s="84">
        <f>IF($A24="","",IF($G24="","চলমান","পরিশোধিত"))</f>
        <v/>
      </c>
      <c r="G24" s="81" t="n"/>
    </row>
    <row r="25" ht="15" customHeight="1" s="52">
      <c r="A25" s="81" t="n"/>
      <c r="B25" s="82" t="n"/>
      <c r="C25" s="82" t="n"/>
      <c r="D25" s="83" t="n"/>
      <c r="E25" s="82" t="n"/>
      <c r="F25" s="84">
        <f>IF($A25="","",IF($G25="","চলমান","পরিশোধিত"))</f>
        <v/>
      </c>
      <c r="G25" s="81" t="n"/>
    </row>
    <row r="26" ht="15" customHeight="1" s="52">
      <c r="A26" s="81" t="n"/>
      <c r="B26" s="82" t="n"/>
      <c r="C26" s="82" t="n"/>
      <c r="D26" s="83" t="n"/>
      <c r="E26" s="82" t="n"/>
      <c r="F26" s="84">
        <f>IF($A26="","",IF($G26="","চলমান","পরিশোধিত"))</f>
        <v/>
      </c>
      <c r="G26" s="81" t="n"/>
    </row>
    <row r="27" ht="15" customHeight="1" s="52">
      <c r="A27" s="81" t="n"/>
      <c r="B27" s="82" t="n"/>
      <c r="C27" s="82" t="n"/>
      <c r="D27" s="83" t="n"/>
      <c r="E27" s="82" t="n"/>
      <c r="F27" s="84">
        <f>IF($A27="","",IF($G27="","চলমান","পরিশোধিত"))</f>
        <v/>
      </c>
      <c r="G27" s="81" t="n"/>
    </row>
    <row r="28" ht="15" customHeight="1" s="52">
      <c r="A28" s="81" t="n"/>
      <c r="B28" s="82" t="n"/>
      <c r="C28" s="82" t="n"/>
      <c r="D28" s="83" t="n"/>
      <c r="E28" s="82" t="n"/>
      <c r="F28" s="84">
        <f>IF($A28="","",IF($G28="","চলমান","পরিশোধিত"))</f>
        <v/>
      </c>
      <c r="G28" s="81" t="n"/>
    </row>
    <row r="29" ht="15" customHeight="1" s="52">
      <c r="A29" s="81" t="n"/>
      <c r="B29" s="82" t="n"/>
      <c r="C29" s="82" t="n"/>
      <c r="D29" s="83" t="n"/>
      <c r="E29" s="82" t="n"/>
      <c r="F29" s="84">
        <f>IF($A29="","",IF($G29="","চলমান","পরিশোধিত"))</f>
        <v/>
      </c>
      <c r="G29" s="81" t="n"/>
    </row>
    <row r="30" ht="15" customHeight="1" s="52">
      <c r="A30" s="81" t="n"/>
      <c r="B30" s="82" t="n"/>
      <c r="C30" s="82" t="n"/>
      <c r="D30" s="83" t="n"/>
      <c r="E30" s="82" t="n"/>
      <c r="F30" s="84">
        <f>IF($A30="","",IF($G30="","চলমান","পরিশোধিত"))</f>
        <v/>
      </c>
      <c r="G30" s="81" t="n"/>
    </row>
    <row r="31" ht="15" customHeight="1" s="52">
      <c r="A31" s="81" t="n"/>
      <c r="B31" s="82" t="n"/>
      <c r="C31" s="82" t="n"/>
      <c r="D31" s="83" t="n"/>
      <c r="E31" s="82" t="n"/>
      <c r="F31" s="84">
        <f>IF($A31="","",IF($G31="","চলমান","পরিশোধিত"))</f>
        <v/>
      </c>
      <c r="G31" s="81" t="n"/>
    </row>
    <row r="32" ht="15" customHeight="1" s="52">
      <c r="A32" s="81" t="n"/>
      <c r="B32" s="82" t="n"/>
      <c r="C32" s="82" t="n"/>
      <c r="D32" s="83" t="n"/>
      <c r="E32" s="82" t="n"/>
      <c r="F32" s="84">
        <f>IF($A32="","",IF($G32="","চলমান","পরিশোধিত"))</f>
        <v/>
      </c>
      <c r="G32" s="81" t="n"/>
    </row>
    <row r="33" ht="15" customHeight="1" s="52">
      <c r="A33" s="81" t="n"/>
      <c r="B33" s="82" t="n"/>
      <c r="C33" s="82" t="n"/>
      <c r="D33" s="83" t="n"/>
      <c r="E33" s="82" t="n"/>
      <c r="F33" s="84">
        <f>IF($A33="","",IF($G33="","চলমান","পরিশোধিত"))</f>
        <v/>
      </c>
      <c r="G33" s="81" t="n"/>
    </row>
    <row r="34" ht="15" customHeight="1" s="52">
      <c r="A34" s="81" t="n"/>
      <c r="B34" s="82" t="n"/>
      <c r="C34" s="82" t="n"/>
      <c r="D34" s="83" t="n"/>
      <c r="E34" s="82" t="n"/>
      <c r="F34" s="84">
        <f>IF($A34="","",IF($G34="","চলমান","পরিশোধিত"))</f>
        <v/>
      </c>
      <c r="G34" s="81" t="n"/>
    </row>
    <row r="35" ht="15" customHeight="1" s="52">
      <c r="A35" s="81" t="n"/>
      <c r="B35" s="82" t="n"/>
      <c r="C35" s="82" t="n"/>
      <c r="D35" s="83" t="n"/>
      <c r="E35" s="82" t="n"/>
      <c r="F35" s="84">
        <f>IF($A35="","",IF($G35="","চলমান","পরিশোধিত"))</f>
        <v/>
      </c>
      <c r="G35" s="81" t="n"/>
    </row>
    <row r="36" ht="15" customHeight="1" s="52">
      <c r="A36" s="81" t="n"/>
      <c r="B36" s="82" t="n"/>
      <c r="C36" s="82" t="n"/>
      <c r="D36" s="83" t="n"/>
      <c r="E36" s="82" t="n"/>
      <c r="F36" s="84">
        <f>IF($A36="","",IF($G36="","চলমান","পরিশোধিত"))</f>
        <v/>
      </c>
      <c r="G36" s="81" t="n"/>
    </row>
    <row r="37" ht="15" customHeight="1" s="52">
      <c r="A37" s="81" t="n"/>
      <c r="B37" s="82" t="n"/>
      <c r="C37" s="82" t="n"/>
      <c r="D37" s="83" t="n"/>
      <c r="E37" s="82" t="n"/>
      <c r="F37" s="84">
        <f>IF($A37="","",IF($G37="","চলমান","পরিশোধিত"))</f>
        <v/>
      </c>
      <c r="G37" s="81" t="n"/>
    </row>
    <row r="38" ht="15" customHeight="1" s="52">
      <c r="A38" s="81" t="n"/>
      <c r="B38" s="82" t="n"/>
      <c r="C38" s="82" t="n"/>
      <c r="D38" s="83" t="n"/>
      <c r="E38" s="82" t="n"/>
      <c r="F38" s="84">
        <f>IF($A38="","",IF($G38="","চলমান","পরিশোধিত"))</f>
        <v/>
      </c>
      <c r="G38" s="81" t="n"/>
    </row>
    <row r="39" ht="15" customHeight="1" s="52">
      <c r="A39" s="81" t="n"/>
      <c r="B39" s="82" t="n"/>
      <c r="C39" s="82" t="n"/>
      <c r="D39" s="83" t="n"/>
      <c r="E39" s="82" t="n"/>
      <c r="F39" s="84">
        <f>IF($A39="","",IF($G39="","চলমান","পরিশোধিত"))</f>
        <v/>
      </c>
      <c r="G39" s="81" t="n"/>
    </row>
    <row r="40" ht="15" customHeight="1" s="52">
      <c r="A40" s="81" t="n"/>
      <c r="B40" s="82" t="n"/>
      <c r="C40" s="82" t="n"/>
      <c r="D40" s="83" t="n"/>
      <c r="E40" s="82" t="n"/>
      <c r="F40" s="84">
        <f>IF($A40="","",IF($G40="","চলমান","পরিশোধিত"))</f>
        <v/>
      </c>
      <c r="G40" s="81" t="n"/>
    </row>
    <row r="41" ht="15" customHeight="1" s="52">
      <c r="A41" s="81" t="n"/>
      <c r="B41" s="82" t="n"/>
      <c r="C41" s="82" t="n"/>
      <c r="D41" s="83" t="n"/>
      <c r="E41" s="82" t="n"/>
      <c r="F41" s="84">
        <f>IF($A41="","",IF($G41="","চলমান","পরিশোধিত"))</f>
        <v/>
      </c>
      <c r="G41" s="81" t="n"/>
    </row>
    <row r="42" ht="15" customHeight="1" s="52">
      <c r="A42" s="81" t="n"/>
      <c r="B42" s="82" t="n"/>
      <c r="C42" s="82" t="n"/>
      <c r="D42" s="83" t="n"/>
      <c r="E42" s="82" t="n"/>
      <c r="F42" s="84">
        <f>IF($A42="","",IF($G42="","চলমান","পরিশোধিত"))</f>
        <v/>
      </c>
      <c r="G42" s="81" t="n"/>
    </row>
    <row r="43" ht="15" customHeight="1" s="52">
      <c r="A43" s="81" t="n"/>
      <c r="B43" s="82" t="n"/>
      <c r="C43" s="82" t="n"/>
      <c r="D43" s="83" t="n"/>
      <c r="E43" s="82" t="n"/>
      <c r="F43" s="84">
        <f>IF($A43="","",IF($G43="","চলমান","পরিশোধিত"))</f>
        <v/>
      </c>
      <c r="G43" s="81" t="n"/>
    </row>
    <row r="44" ht="15" customHeight="1" s="52">
      <c r="A44" s="81" t="n"/>
      <c r="B44" s="82" t="n"/>
      <c r="C44" s="82" t="n"/>
      <c r="D44" s="83" t="n"/>
      <c r="E44" s="82" t="n"/>
      <c r="F44" s="84">
        <f>IF($A44="","",IF($G44="","চলমান","পরিশোধিত"))</f>
        <v/>
      </c>
      <c r="G44" s="81" t="n"/>
    </row>
    <row r="45" ht="15" customHeight="1" s="52">
      <c r="A45" s="81" t="n"/>
      <c r="B45" s="82" t="n"/>
      <c r="C45" s="82" t="n"/>
      <c r="D45" s="83" t="n"/>
      <c r="E45" s="82" t="n"/>
      <c r="F45" s="84">
        <f>IF($A45="","",IF($G45="","চলমান","পরিশোধিত"))</f>
        <v/>
      </c>
      <c r="G45" s="81" t="n"/>
    </row>
    <row r="46" ht="15" customHeight="1" s="52">
      <c r="A46" s="81" t="n"/>
      <c r="B46" s="82" t="n"/>
      <c r="C46" s="82" t="n"/>
      <c r="D46" s="83" t="n"/>
      <c r="E46" s="82" t="n"/>
      <c r="F46" s="84">
        <f>IF($A46="","",IF($G46="","চলমান","পরিশোধিত"))</f>
        <v/>
      </c>
      <c r="G46" s="81" t="n"/>
    </row>
    <row r="47" ht="15" customHeight="1" s="52">
      <c r="A47" s="81" t="n"/>
      <c r="B47" s="82" t="n"/>
      <c r="C47" s="82" t="n"/>
      <c r="D47" s="83" t="n"/>
      <c r="E47" s="82" t="n"/>
      <c r="F47" s="84">
        <f>IF($A47="","",IF($G47="","চলমান","পরিশোধিত"))</f>
        <v/>
      </c>
      <c r="G47" s="81" t="n"/>
    </row>
    <row r="48" ht="15" customHeight="1" s="52">
      <c r="A48" s="81" t="n"/>
      <c r="B48" s="82" t="n"/>
      <c r="C48" s="82" t="n"/>
      <c r="D48" s="83" t="n"/>
      <c r="E48" s="82" t="n"/>
      <c r="F48" s="84">
        <f>IF($A48="","",IF($G48="","চলমান","পরিশোধিত"))</f>
        <v/>
      </c>
      <c r="G48" s="81" t="n"/>
    </row>
    <row r="49" ht="15" customHeight="1" s="52">
      <c r="A49" s="81" t="n"/>
      <c r="B49" s="82" t="n"/>
      <c r="C49" s="82" t="n"/>
      <c r="D49" s="83" t="n"/>
      <c r="E49" s="82" t="n"/>
      <c r="F49" s="84">
        <f>IF($A49="","",IF($G49="","চলমান","পরিশোধিত"))</f>
        <v/>
      </c>
      <c r="G49" s="81" t="n"/>
    </row>
    <row r="50" ht="15" customHeight="1" s="52">
      <c r="A50" s="81" t="n"/>
      <c r="B50" s="82" t="n"/>
      <c r="C50" s="82" t="n"/>
      <c r="D50" s="83" t="n"/>
      <c r="E50" s="82" t="n"/>
      <c r="F50" s="84">
        <f>IF($A50="","",IF($G50="","চলমান","পরিশোধিত"))</f>
        <v/>
      </c>
      <c r="G50" s="81" t="n"/>
    </row>
    <row r="51" ht="15" customHeight="1" s="52">
      <c r="A51" s="81" t="n"/>
      <c r="B51" s="82" t="n"/>
      <c r="C51" s="82" t="n"/>
      <c r="D51" s="83" t="n"/>
      <c r="E51" s="82" t="n"/>
      <c r="F51" s="84">
        <f>IF($A51="","",IF($G51="","চলমান","পরিশোধিত"))</f>
        <v/>
      </c>
      <c r="G51" s="81" t="n"/>
    </row>
    <row r="52" ht="15" customHeight="1" s="52">
      <c r="A52" s="81" t="n"/>
      <c r="B52" s="82" t="n"/>
      <c r="C52" s="82" t="n"/>
      <c r="D52" s="83" t="n"/>
      <c r="E52" s="82" t="n"/>
      <c r="F52" s="84">
        <f>IF($A52="","",IF($G52="","চলমান","পরিশোধিত"))</f>
        <v/>
      </c>
      <c r="G52" s="81" t="n"/>
    </row>
    <row r="53" ht="15" customHeight="1" s="52">
      <c r="A53" s="81" t="n"/>
      <c r="B53" s="82" t="n"/>
      <c r="C53" s="82" t="n"/>
      <c r="D53" s="83" t="n"/>
      <c r="E53" s="82" t="n"/>
      <c r="F53" s="84">
        <f>IF($A53="","",IF($G53="","চলমান","পরিশোধিত"))</f>
        <v/>
      </c>
      <c r="G53" s="81" t="n"/>
    </row>
    <row r="54" ht="15" customHeight="1" s="52">
      <c r="A54" s="81" t="n"/>
      <c r="B54" s="82" t="n"/>
      <c r="C54" s="82" t="n"/>
      <c r="D54" s="83" t="n"/>
      <c r="E54" s="82" t="n"/>
      <c r="F54" s="84">
        <f>IF($A54="","",IF($G54="","চলমান","পরিশোধিত"))</f>
        <v/>
      </c>
      <c r="G54" s="81" t="n"/>
    </row>
    <row r="55" ht="15" customHeight="1" s="52">
      <c r="A55" s="81" t="n"/>
      <c r="B55" s="82" t="n"/>
      <c r="C55" s="82" t="n"/>
      <c r="D55" s="83" t="n"/>
      <c r="E55" s="82" t="n"/>
      <c r="F55" s="84">
        <f>IF($A55="","",IF($G55="","চলমান","পরিশোধিত"))</f>
        <v/>
      </c>
      <c r="G55" s="81" t="n"/>
    </row>
    <row r="56" ht="15" customHeight="1" s="52">
      <c r="A56" s="81" t="n"/>
      <c r="B56" s="82" t="n"/>
      <c r="C56" s="82" t="n"/>
      <c r="D56" s="83" t="n"/>
      <c r="E56" s="82" t="n"/>
      <c r="F56" s="84">
        <f>IF($A56="","",IF($G56="","চলমান","পরিশোধিত"))</f>
        <v/>
      </c>
      <c r="G56" s="81" t="n"/>
    </row>
    <row r="57" ht="15" customHeight="1" s="52">
      <c r="A57" s="81" t="n"/>
      <c r="B57" s="82" t="n"/>
      <c r="C57" s="82" t="n"/>
      <c r="D57" s="83" t="n"/>
      <c r="E57" s="82" t="n"/>
      <c r="F57" s="84">
        <f>IF($A57="","",IF($G57="","চলমান","পরিশোধিত"))</f>
        <v/>
      </c>
      <c r="G57" s="81" t="n"/>
    </row>
    <row r="58" ht="15" customHeight="1" s="52">
      <c r="A58" s="81" t="n"/>
      <c r="B58" s="82" t="n"/>
      <c r="C58" s="82" t="n"/>
      <c r="D58" s="83" t="n"/>
      <c r="E58" s="82" t="n"/>
      <c r="F58" s="84">
        <f>IF($A58="","",IF($G58="","চলমান","পরিশোধিত"))</f>
        <v/>
      </c>
      <c r="G58" s="81" t="n"/>
    </row>
    <row r="59" ht="15" customHeight="1" s="52">
      <c r="A59" s="81" t="n"/>
      <c r="B59" s="82" t="n"/>
      <c r="C59" s="82" t="n"/>
      <c r="D59" s="83" t="n"/>
      <c r="E59" s="82" t="n"/>
      <c r="F59" s="84">
        <f>IF($A59="","",IF($G59="","চলমান","পরিশোধিত"))</f>
        <v/>
      </c>
      <c r="G59" s="81" t="n"/>
    </row>
    <row r="60" ht="15" customHeight="1" s="52">
      <c r="A60" s="81" t="n"/>
      <c r="B60" s="82" t="n"/>
      <c r="C60" s="82" t="n"/>
      <c r="D60" s="83" t="n"/>
      <c r="E60" s="82" t="n"/>
      <c r="F60" s="84">
        <f>IF($A60="","",IF($G60="","চলমান","পরিশোধিত"))</f>
        <v/>
      </c>
      <c r="G60" s="81" t="n"/>
    </row>
    <row r="61" ht="15" customHeight="1" s="52">
      <c r="A61" s="81" t="n"/>
      <c r="B61" s="82" t="n"/>
      <c r="C61" s="82" t="n"/>
      <c r="D61" s="83" t="n"/>
      <c r="E61" s="82" t="n"/>
      <c r="F61" s="84">
        <f>IF($A61="","",IF($G61="","চলমান","পরিশোধিত"))</f>
        <v/>
      </c>
      <c r="G61" s="81" t="n"/>
    </row>
    <row r="62" ht="15" customHeight="1" s="52">
      <c r="A62" s="81" t="n"/>
      <c r="B62" s="82" t="n"/>
      <c r="C62" s="82" t="n"/>
      <c r="D62" s="83" t="n"/>
      <c r="E62" s="82" t="n"/>
      <c r="F62" s="84">
        <f>IF($A62="","",IF($G62="","চলমান","পরিশোধিত"))</f>
        <v/>
      </c>
      <c r="G62" s="81" t="n"/>
    </row>
    <row r="63" ht="15" customHeight="1" s="52">
      <c r="A63" s="81" t="n"/>
      <c r="B63" s="82" t="n"/>
      <c r="C63" s="82" t="n"/>
      <c r="D63" s="83" t="n"/>
      <c r="E63" s="82" t="n"/>
      <c r="F63" s="84">
        <f>IF($A63="","",IF($G63="","চলমান","পরিশোধিত"))</f>
        <v/>
      </c>
      <c r="G63" s="81" t="n"/>
    </row>
    <row r="64" ht="15" customHeight="1" s="52">
      <c r="A64" s="81" t="n"/>
      <c r="B64" s="82" t="n"/>
      <c r="C64" s="82" t="n"/>
      <c r="D64" s="83" t="n"/>
      <c r="E64" s="82" t="n"/>
      <c r="F64" s="84">
        <f>IF($A64="","",IF($G64="","চলমান","পরিশোধিত"))</f>
        <v/>
      </c>
      <c r="G64" s="81" t="n"/>
    </row>
    <row r="65" ht="15" customHeight="1" s="52">
      <c r="A65" s="81" t="n"/>
      <c r="B65" s="82" t="n"/>
      <c r="C65" s="82" t="n"/>
      <c r="D65" s="83" t="n"/>
      <c r="E65" s="82" t="n"/>
      <c r="F65" s="84">
        <f>IF($A65="","",IF($G65="","চলমান","পরিশোধিত"))</f>
        <v/>
      </c>
      <c r="G65" s="81" t="n"/>
    </row>
    <row r="66" ht="15" customHeight="1" s="52">
      <c r="A66" s="81" t="n"/>
      <c r="B66" s="82" t="n"/>
      <c r="C66" s="82" t="n"/>
      <c r="D66" s="83" t="n"/>
      <c r="E66" s="82" t="n"/>
      <c r="F66" s="84">
        <f>IF($A66="","",IF($G66="","চলমান","পরিশোধিত"))</f>
        <v/>
      </c>
      <c r="G66" s="81" t="n"/>
    </row>
    <row r="67" ht="15" customHeight="1" s="52">
      <c r="A67" s="81" t="n"/>
      <c r="B67" s="82" t="n"/>
      <c r="C67" s="82" t="n"/>
      <c r="D67" s="83" t="n"/>
      <c r="E67" s="82" t="n"/>
      <c r="F67" s="84">
        <f>IF($A67="","",IF($G67="","চলমান","পরিশোধিত"))</f>
        <v/>
      </c>
      <c r="G67" s="81" t="n"/>
    </row>
    <row r="68" ht="15" customHeight="1" s="52">
      <c r="A68" s="81" t="n"/>
      <c r="B68" s="82" t="n"/>
      <c r="C68" s="82" t="n"/>
      <c r="D68" s="83" t="n"/>
      <c r="E68" s="82" t="n"/>
      <c r="F68" s="84">
        <f>IF($A68="","",IF($G68="","চলমান","পরিশোধিত"))</f>
        <v/>
      </c>
      <c r="G68" s="81" t="n"/>
    </row>
    <row r="69" ht="15" customHeight="1" s="52">
      <c r="A69" s="81" t="n"/>
      <c r="B69" s="82" t="n"/>
      <c r="C69" s="82" t="n"/>
      <c r="D69" s="83" t="n"/>
      <c r="E69" s="82" t="n"/>
      <c r="F69" s="84">
        <f>IF($A69="","",IF($G69="","চলমান","পরিশোধিত"))</f>
        <v/>
      </c>
      <c r="G69" s="81" t="n"/>
    </row>
    <row r="70" ht="15" customHeight="1" s="52">
      <c r="A70" s="81" t="n"/>
      <c r="B70" s="82" t="n"/>
      <c r="C70" s="82" t="n"/>
      <c r="D70" s="83" t="n"/>
      <c r="E70" s="82" t="n"/>
      <c r="F70" s="84">
        <f>IF($A70="","",IF($G70="","চলমান","পরিশোধিত"))</f>
        <v/>
      </c>
      <c r="G70" s="81" t="n"/>
    </row>
    <row r="71" ht="15" customHeight="1" s="52">
      <c r="A71" s="81" t="n"/>
      <c r="B71" s="82" t="n"/>
      <c r="C71" s="82" t="n"/>
      <c r="D71" s="83" t="n"/>
      <c r="E71" s="82" t="n"/>
      <c r="F71" s="84">
        <f>IF($A71="","",IF($G71="","চলমান","পরিশোধিত"))</f>
        <v/>
      </c>
      <c r="G71" s="81" t="n"/>
    </row>
    <row r="72" ht="15" customHeight="1" s="52">
      <c r="A72" s="81" t="n"/>
      <c r="B72" s="82" t="n"/>
      <c r="C72" s="82" t="n"/>
      <c r="D72" s="83" t="n"/>
      <c r="E72" s="82" t="n"/>
      <c r="F72" s="84">
        <f>IF($A72="","",IF($G72="","চলমান","পরিশোধিত"))</f>
        <v/>
      </c>
      <c r="G72" s="81" t="n"/>
    </row>
    <row r="73" ht="15" customHeight="1" s="52">
      <c r="A73" s="81" t="n"/>
      <c r="B73" s="82" t="n"/>
      <c r="C73" s="82" t="n"/>
      <c r="D73" s="83" t="n"/>
      <c r="E73" s="82" t="n"/>
      <c r="F73" s="84">
        <f>IF($A73="","",IF($G73="","চলমান","পরিশোধিত"))</f>
        <v/>
      </c>
      <c r="G73" s="81" t="n"/>
    </row>
    <row r="74" ht="15" customHeight="1" s="52">
      <c r="A74" s="81" t="n"/>
      <c r="B74" s="82" t="n"/>
      <c r="C74" s="82" t="n"/>
      <c r="D74" s="83" t="n"/>
      <c r="E74" s="82" t="n"/>
      <c r="F74" s="84">
        <f>IF($A74="","",IF($G74="","চলমান","পরিশোধিত"))</f>
        <v/>
      </c>
      <c r="G74" s="81" t="n"/>
    </row>
    <row r="75" ht="15" customHeight="1" s="52">
      <c r="A75" s="81" t="n"/>
      <c r="B75" s="82" t="n"/>
      <c r="C75" s="82" t="n"/>
      <c r="D75" s="83" t="n"/>
      <c r="E75" s="82" t="n"/>
      <c r="F75" s="84">
        <f>IF($A75="","",IF($G75="","চলমান","পরিশোধিত"))</f>
        <v/>
      </c>
      <c r="G75" s="81" t="n"/>
    </row>
    <row r="76" ht="15" customHeight="1" s="52">
      <c r="A76" s="81" t="n"/>
      <c r="B76" s="82" t="n"/>
      <c r="C76" s="82" t="n"/>
      <c r="D76" s="83" t="n"/>
      <c r="E76" s="82" t="n"/>
      <c r="F76" s="84">
        <f>IF($A76="","",IF($G76="","চলমান","পরিশোধিত"))</f>
        <v/>
      </c>
      <c r="G76" s="81" t="n"/>
    </row>
    <row r="77" ht="15" customHeight="1" s="52">
      <c r="A77" s="81" t="n"/>
      <c r="B77" s="82" t="n"/>
      <c r="C77" s="82" t="n"/>
      <c r="D77" s="83" t="n"/>
      <c r="E77" s="82" t="n"/>
      <c r="F77" s="84">
        <f>IF($A77="","",IF($G77="","চলমান","পরিশোধিত"))</f>
        <v/>
      </c>
      <c r="G77" s="81" t="n"/>
    </row>
    <row r="78" ht="15" customHeight="1" s="52">
      <c r="A78" s="81" t="n"/>
      <c r="B78" s="82" t="n"/>
      <c r="C78" s="82" t="n"/>
      <c r="D78" s="83" t="n"/>
      <c r="E78" s="82" t="n"/>
      <c r="F78" s="84">
        <f>IF($A78="","",IF($G78="","চলমান","পরিশোধিত"))</f>
        <v/>
      </c>
      <c r="G78" s="81" t="n"/>
    </row>
    <row r="79" ht="15" customHeight="1" s="52">
      <c r="A79" s="81" t="n"/>
      <c r="B79" s="82" t="n"/>
      <c r="C79" s="82" t="n"/>
      <c r="D79" s="83" t="n"/>
      <c r="E79" s="82" t="n"/>
      <c r="F79" s="84">
        <f>IF($A79="","",IF($G79="","চলমান","পরিশোধিত"))</f>
        <v/>
      </c>
      <c r="G79" s="81" t="n"/>
    </row>
    <row r="80" ht="15" customHeight="1" s="52">
      <c r="A80" s="81" t="n"/>
      <c r="B80" s="82" t="n"/>
      <c r="C80" s="82" t="n"/>
      <c r="D80" s="83" t="n"/>
      <c r="E80" s="82" t="n"/>
      <c r="F80" s="84">
        <f>IF($A80="","",IF($G80="","চলমান","পরিশোধিত"))</f>
        <v/>
      </c>
      <c r="G80" s="81" t="n"/>
    </row>
    <row r="81" ht="15" customHeight="1" s="52">
      <c r="A81" s="81" t="n"/>
      <c r="B81" s="82" t="n"/>
      <c r="C81" s="82" t="n"/>
      <c r="D81" s="83" t="n"/>
      <c r="E81" s="82" t="n"/>
      <c r="F81" s="84">
        <f>IF($A81="","",IF($G81="","চলমান","পরিশোধিত"))</f>
        <v/>
      </c>
      <c r="G81" s="81" t="n"/>
    </row>
    <row r="82" ht="15" customHeight="1" s="52">
      <c r="A82" s="81" t="n"/>
      <c r="B82" s="82" t="n"/>
      <c r="C82" s="82" t="n"/>
      <c r="D82" s="83" t="n"/>
      <c r="E82" s="82" t="n"/>
      <c r="F82" s="84">
        <f>IF($A82="","",IF($G82="","চলমান","পরিশোধিত"))</f>
        <v/>
      </c>
      <c r="G82" s="81" t="n"/>
    </row>
    <row r="83" ht="15" customHeight="1" s="52">
      <c r="A83" s="81" t="n"/>
      <c r="B83" s="82" t="n"/>
      <c r="C83" s="82" t="n"/>
      <c r="D83" s="83" t="n"/>
      <c r="E83" s="82" t="n"/>
      <c r="F83" s="84">
        <f>IF($A83="","",IF($G83="","চলমান","পরিশোধিত"))</f>
        <v/>
      </c>
      <c r="G83" s="81" t="n"/>
    </row>
    <row r="84" ht="15" customHeight="1" s="52">
      <c r="A84" s="81" t="n"/>
      <c r="B84" s="82" t="n"/>
      <c r="C84" s="82" t="n"/>
      <c r="D84" s="83" t="n"/>
      <c r="E84" s="82" t="n"/>
      <c r="F84" s="84">
        <f>IF($A84="","",IF($G84="","চলমান","পরিশোধিত"))</f>
        <v/>
      </c>
      <c r="G84" s="81" t="n"/>
    </row>
    <row r="85" ht="15" customHeight="1" s="52">
      <c r="A85" s="81" t="n"/>
      <c r="B85" s="82" t="n"/>
      <c r="C85" s="82" t="n"/>
      <c r="D85" s="83" t="n"/>
      <c r="E85" s="82" t="n"/>
      <c r="F85" s="84">
        <f>IF($A85="","",IF($G85="","চলমান","পরিশোধিত"))</f>
        <v/>
      </c>
      <c r="G85" s="81" t="n"/>
    </row>
    <row r="86" ht="15" customHeight="1" s="52">
      <c r="A86" s="81" t="n"/>
      <c r="B86" s="82" t="n"/>
      <c r="C86" s="82" t="n"/>
      <c r="D86" s="83" t="n"/>
      <c r="E86" s="82" t="n"/>
      <c r="F86" s="84">
        <f>IF($A86="","",IF($G86="","চলমান","পরিশোধিত"))</f>
        <v/>
      </c>
      <c r="G86" s="81" t="n"/>
    </row>
    <row r="87" ht="15" customHeight="1" s="52">
      <c r="A87" s="81" t="n"/>
      <c r="B87" s="82" t="n"/>
      <c r="C87" s="82" t="n"/>
      <c r="D87" s="83" t="n"/>
      <c r="E87" s="82" t="n"/>
      <c r="F87" s="84">
        <f>IF($A87="","",IF($G87="","চলমান","পরিশোধিত"))</f>
        <v/>
      </c>
      <c r="G87" s="81" t="n"/>
    </row>
    <row r="88" ht="15" customHeight="1" s="52">
      <c r="A88" s="81" t="n"/>
      <c r="B88" s="82" t="n"/>
      <c r="C88" s="82" t="n"/>
      <c r="D88" s="83" t="n"/>
      <c r="E88" s="82" t="n"/>
      <c r="F88" s="84">
        <f>IF($A88="","",IF($G88="","চলমান","পরিশোধিত"))</f>
        <v/>
      </c>
      <c r="G88" s="81" t="n"/>
    </row>
    <row r="89" ht="15" customHeight="1" s="52">
      <c r="A89" s="81" t="n"/>
      <c r="B89" s="82" t="n"/>
      <c r="C89" s="82" t="n"/>
      <c r="D89" s="83" t="n"/>
      <c r="E89" s="82" t="n"/>
      <c r="F89" s="84">
        <f>IF($A89="","",IF($G89="","চলমান","পরিশোধিত"))</f>
        <v/>
      </c>
      <c r="G89" s="81" t="n"/>
    </row>
    <row r="90" ht="15" customHeight="1" s="52">
      <c r="A90" s="81" t="n"/>
      <c r="B90" s="82" t="n"/>
      <c r="C90" s="82" t="n"/>
      <c r="D90" s="83" t="n"/>
      <c r="E90" s="82" t="n"/>
      <c r="F90" s="84">
        <f>IF($A90="","",IF($G90="","চলমান","পরিশোধিত"))</f>
        <v/>
      </c>
      <c r="G90" s="81" t="n"/>
    </row>
    <row r="91" ht="15" customHeight="1" s="52">
      <c r="A91" s="81" t="n"/>
      <c r="B91" s="82" t="n"/>
      <c r="C91" s="82" t="n"/>
      <c r="D91" s="83" t="n"/>
      <c r="E91" s="82" t="n"/>
      <c r="F91" s="84">
        <f>IF($A91="","",IF($G91="","চলমান","পরিশোধিত"))</f>
        <v/>
      </c>
      <c r="G91" s="81" t="n"/>
    </row>
    <row r="92" ht="15" customHeight="1" s="52">
      <c r="A92" s="81" t="n"/>
      <c r="B92" s="82" t="n"/>
      <c r="C92" s="82" t="n"/>
      <c r="D92" s="83" t="n"/>
      <c r="E92" s="82" t="n"/>
      <c r="F92" s="84">
        <f>IF($A92="","",IF($G92="","চলমান","পরিশোধিত"))</f>
        <v/>
      </c>
      <c r="G92" s="81" t="n"/>
    </row>
    <row r="93" ht="15" customHeight="1" s="52">
      <c r="A93" s="81" t="n"/>
      <c r="B93" s="82" t="n"/>
      <c r="C93" s="82" t="n"/>
      <c r="D93" s="83" t="n"/>
      <c r="E93" s="82" t="n"/>
      <c r="F93" s="84">
        <f>IF($A93="","",IF($G93="","চলমান","পরিশোধিত"))</f>
        <v/>
      </c>
      <c r="G93" s="81" t="n"/>
    </row>
    <row r="94" ht="15" customHeight="1" s="52">
      <c r="A94" s="81" t="n"/>
      <c r="B94" s="82" t="n"/>
      <c r="C94" s="82" t="n"/>
      <c r="D94" s="83" t="n"/>
      <c r="E94" s="82" t="n"/>
      <c r="F94" s="84">
        <f>IF($A94="","",IF($G94="","চলমান","পরিশোধিত"))</f>
        <v/>
      </c>
      <c r="G94" s="81" t="n"/>
    </row>
    <row r="95" ht="15" customHeight="1" s="52">
      <c r="A95" s="81" t="n"/>
      <c r="B95" s="82" t="n"/>
      <c r="C95" s="82" t="n"/>
      <c r="D95" s="83" t="n"/>
      <c r="E95" s="82" t="n"/>
      <c r="F95" s="84">
        <f>IF($A95="","",IF($G95="","চলমান","পরিশোধিত"))</f>
        <v/>
      </c>
      <c r="G95" s="81" t="n"/>
    </row>
    <row r="96" ht="15" customHeight="1" s="52">
      <c r="A96" s="81" t="n"/>
      <c r="B96" s="82" t="n"/>
      <c r="C96" s="82" t="n"/>
      <c r="D96" s="83" t="n"/>
      <c r="E96" s="82" t="n"/>
      <c r="F96" s="84">
        <f>IF($A96="","",IF($G96="","চলমান","পরিশোধিত"))</f>
        <v/>
      </c>
      <c r="G96" s="81" t="n"/>
    </row>
    <row r="97" ht="15" customHeight="1" s="52">
      <c r="A97" s="81" t="n"/>
      <c r="B97" s="82" t="n"/>
      <c r="C97" s="82" t="n"/>
      <c r="D97" s="83" t="n"/>
      <c r="E97" s="82" t="n"/>
      <c r="F97" s="84">
        <f>IF($A97="","",IF($G97="","চলমান","পরিশোধিত"))</f>
        <v/>
      </c>
      <c r="G97" s="81" t="n"/>
    </row>
    <row r="98" ht="15" customHeight="1" s="52">
      <c r="A98" s="81" t="n"/>
      <c r="B98" s="82" t="n"/>
      <c r="C98" s="82" t="n"/>
      <c r="D98" s="83" t="n"/>
      <c r="E98" s="82" t="n"/>
      <c r="F98" s="84">
        <f>IF($A98="","",IF($G98="","চলমান","পরিশোধিত"))</f>
        <v/>
      </c>
      <c r="G98" s="81" t="n"/>
    </row>
    <row r="99" ht="15" customHeight="1" s="52">
      <c r="A99" s="81" t="n"/>
      <c r="B99" s="82" t="n"/>
      <c r="C99" s="82" t="n"/>
      <c r="D99" s="83" t="n"/>
      <c r="E99" s="82" t="n"/>
      <c r="F99" s="84">
        <f>IF($A99="","",IF($G99="","চলমান","পরিশোধিত"))</f>
        <v/>
      </c>
      <c r="G99" s="81" t="n"/>
    </row>
    <row r="100" ht="15" customHeight="1" s="52">
      <c r="A100" s="81" t="n"/>
      <c r="B100" s="82" t="n"/>
      <c r="C100" s="82" t="n"/>
      <c r="D100" s="83" t="n"/>
      <c r="E100" s="82" t="n"/>
      <c r="F100" s="84">
        <f>IF($A100="","",IF($G100="","চলমান","পরিশোধিত"))</f>
        <v/>
      </c>
      <c r="G100" s="81" t="n"/>
    </row>
    <row r="101" ht="15" customHeight="1" s="52">
      <c r="A101" s="81" t="n"/>
      <c r="B101" s="82" t="n"/>
      <c r="C101" s="82" t="n"/>
      <c r="D101" s="83" t="n"/>
      <c r="E101" s="82" t="n"/>
      <c r="F101" s="84">
        <f>IF($A101="","",IF($G101="","চলমান","পরিশোধিত"))</f>
        <v/>
      </c>
      <c r="G101" s="81" t="n"/>
    </row>
    <row r="102" ht="15" customHeight="1" s="52">
      <c r="A102" s="81" t="n"/>
      <c r="B102" s="82" t="n"/>
      <c r="C102" s="82" t="n"/>
      <c r="D102" s="83" t="n"/>
      <c r="E102" s="82" t="n"/>
      <c r="F102" s="84">
        <f>IF($A102="","",IF($G102="","চলমান","পরিশোধিত"))</f>
        <v/>
      </c>
      <c r="G102" s="81" t="n"/>
    </row>
    <row r="103" ht="15" customHeight="1" s="52">
      <c r="A103" s="81" t="n"/>
      <c r="B103" s="82" t="n"/>
      <c r="C103" s="82" t="n"/>
      <c r="D103" s="83" t="n"/>
      <c r="E103" s="82" t="n"/>
      <c r="F103" s="84">
        <f>IF($A103="","",IF($G103="","চলমান","পরিশোধিত"))</f>
        <v/>
      </c>
      <c r="G103" s="81" t="n"/>
    </row>
  </sheetData>
  <mergeCells count="3">
    <mergeCell ref="I1:J1"/>
    <mergeCell ref="A2:G2"/>
    <mergeCell ref="A1:G1"/>
  </mergeCells>
  <conditionalFormatting sqref="A4:G103">
    <cfRule type="expression" priority="1" dxfId="8" stopIfTrue="1">
      <formula>AND($A4&lt;&gt;"",$D4="")</formula>
    </cfRule>
    <cfRule type="expression" priority="2" dxfId="9" stopIfTrue="0">
      <formula>AND($A4&lt;&gt;"",$G4="")</formula>
    </cfRule>
  </conditionalFormatting>
  <dataValidations count="4">
    <dataValidation sqref="C4:C103" showDropDown="0" showInputMessage="0" showErrorMessage="1" allowBlank="1" errorTitle="ধরন বেছে নিন" error="‘ধার দিয়েছি’ বা ‘ধার নিয়েছি’ — ড্রপ-ডাউন থেকে বেছে নিন।" type="list" errorStyle="stop">
      <formula1>"ধার দিয়েছি,ধার নিয়েছি"</formula1>
    </dataValidation>
    <dataValidation sqref="D4:D103" showDropDown="0" showInputMessage="0" showErrorMessage="1" allowBlank="1" errorTitle="পরিমাণ ঠিক নয়" error="শুধু শূন্য বা তার বেশি সংখ্যা লিখুন।" type="decimal" errorStyle="stop" operator="greaterThanOrEqual">
      <formula1>0</formula1>
    </dataValidation>
    <dataValidation sqref="A4:A103" showDropDown="0" showInputMessage="0" showErrorMessage="1" allowBlank="1" errorTitle="তারিখ দেখে নিন" error="এটি তারিখ হিসেবে পড়া যায়নি। DD/MM/YYYY আকারে লিখুন।" type="date" errorStyle="warning" operator="greaterThanOrEqual">
      <formula1>DATE(2000,1,1)</formula1>
    </dataValidation>
    <dataValidation sqref="G4:G103" showDropDown="0" showInputMessage="0" showErrorMessage="1" allowBlank="1" errorTitle="তারিখ দেখে নিন" error="এটি তারিখ হিসেবে পড়া যায়নি। DD/MM/YYYY আকারে লিখুন।" type="date" errorStyle="warning" operator="greaterThanOrEqual">
      <formula1>DATE(2000,1,1)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F3864"/>
    <outlinePr summaryBelow="1" summaryRight="1"/>
    <pageSetUpPr/>
  </sheetPr>
  <dimension ref="A1:F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style="52" min="1" max="1"/>
    <col width="17" customWidth="1" style="52" min="2" max="2"/>
    <col width="19" customWidth="1" style="52" min="3" max="3"/>
    <col width="17" customWidth="1" style="52" min="4" max="4"/>
    <col width="12" customWidth="1" style="52" min="5" max="5"/>
    <col width="20" customWidth="1" style="52" min="6" max="6"/>
  </cols>
  <sheetData>
    <row r="1" ht="25.5" customHeight="1" s="52">
      <c r="A1" s="77" t="inlineStr">
        <is>
          <t>বাজেট  —  খরচ বনাম সীমা</t>
        </is>
      </c>
    </row>
    <row r="2" ht="15.75" customHeight="1" s="52">
      <c r="A2" s="90" t="inlineStr">
        <is>
          <t>মাস</t>
        </is>
      </c>
      <c r="B2" s="91" t="inlineStr">
        <is>
          <t>জানুয়ারি ২০২৬</t>
        </is>
      </c>
      <c r="C2" s="90" t="inlineStr">
        <is>
          <t>মোট মাসিক বাজেট (৳)</t>
        </is>
      </c>
      <c r="D2" s="92" t="n"/>
      <c r="E2" s="93">
        <f>IF($D$2=0,"",IF(SUM($B$4:$B$53)&gt;$D$2,"⚠ খাতভিত্তিক সীমার যোগফল মোট বাজেটের বেশি",""))</f>
        <v/>
      </c>
    </row>
    <row r="3" ht="21.75" customHeight="1" s="52">
      <c r="A3" s="80" t="inlineStr">
        <is>
          <t>খাত</t>
        </is>
      </c>
      <c r="B3" s="80" t="inlineStr">
        <is>
          <t>মাসিক সীমা (৳)</t>
        </is>
      </c>
      <c r="C3" s="80" t="inlineStr">
        <is>
          <t>এই মাসের খরচ (৳)</t>
        </is>
      </c>
      <c r="D3" s="80" t="inlineStr">
        <is>
          <t>বাকি (৳)</t>
        </is>
      </c>
      <c r="E3" s="80" t="inlineStr">
        <is>
          <t>ব্যবহার</t>
        </is>
      </c>
      <c r="F3" s="80" t="inlineStr">
        <is>
          <t>অবস্থা</t>
        </is>
      </c>
    </row>
    <row r="4" ht="15" customHeight="1" s="52">
      <c r="A4" s="82" t="n"/>
      <c r="B4" s="83" t="n"/>
      <c r="C4" s="94">
        <f>IF($A4="","",SUMIF(INDIRECT("'"&amp;$B$2&amp;"'!$C$4:$C$203"),$A4,INDIRECT("'"&amp;$B$2&amp;"'!$E$4:$E$203")))</f>
        <v/>
      </c>
      <c r="D4" s="94">
        <f>IF($A4="","",$B4-$C4)</f>
        <v/>
      </c>
      <c r="E4" s="95">
        <f>IF($A4="","",IFERROR($C4/$B4,0))</f>
        <v/>
      </c>
      <c r="F4" s="84">
        <f>IF($A4="","",IF($B4=0,"—",IF($E4&gt;1,"বেশি হয়ে গেছে",IF($E4&gt;=0.8,"সতর্ক","ভালো"))))</f>
        <v/>
      </c>
    </row>
    <row r="5" ht="15" customHeight="1" s="52">
      <c r="A5" s="82" t="n"/>
      <c r="B5" s="83" t="n"/>
      <c r="C5" s="94">
        <f>IF($A5="","",SUMIF(INDIRECT("'"&amp;$B$2&amp;"'!$C$4:$C$203"),$A5,INDIRECT("'"&amp;$B$2&amp;"'!$E$4:$E$203")))</f>
        <v/>
      </c>
      <c r="D5" s="94">
        <f>IF($A5="","",$B5-$C5)</f>
        <v/>
      </c>
      <c r="E5" s="95">
        <f>IF($A5="","",IFERROR($C5/$B5,0))</f>
        <v/>
      </c>
      <c r="F5" s="84">
        <f>IF($A5="","",IF($B5=0,"—",IF($E5&gt;1,"বেশি হয়ে গেছে",IF($E5&gt;=0.8,"সতর্ক","ভালো"))))</f>
        <v/>
      </c>
    </row>
    <row r="6" ht="15" customHeight="1" s="52">
      <c r="A6" s="82" t="n"/>
      <c r="B6" s="83" t="n"/>
      <c r="C6" s="94">
        <f>IF($A6="","",SUMIF(INDIRECT("'"&amp;$B$2&amp;"'!$C$4:$C$203"),$A6,INDIRECT("'"&amp;$B$2&amp;"'!$E$4:$E$203")))</f>
        <v/>
      </c>
      <c r="D6" s="94">
        <f>IF($A6="","",$B6-$C6)</f>
        <v/>
      </c>
      <c r="E6" s="95">
        <f>IF($A6="","",IFERROR($C6/$B6,0))</f>
        <v/>
      </c>
      <c r="F6" s="84">
        <f>IF($A6="","",IF($B6=0,"—",IF($E6&gt;1,"বেশি হয়ে গেছে",IF($E6&gt;=0.8,"সতর্ক","ভালো"))))</f>
        <v/>
      </c>
    </row>
    <row r="7" ht="15" customHeight="1" s="52">
      <c r="A7" s="82" t="n"/>
      <c r="B7" s="83" t="n"/>
      <c r="C7" s="94">
        <f>IF($A7="","",SUMIF(INDIRECT("'"&amp;$B$2&amp;"'!$C$4:$C$203"),$A7,INDIRECT("'"&amp;$B$2&amp;"'!$E$4:$E$203")))</f>
        <v/>
      </c>
      <c r="D7" s="94">
        <f>IF($A7="","",$B7-$C7)</f>
        <v/>
      </c>
      <c r="E7" s="95">
        <f>IF($A7="","",IFERROR($C7/$B7,0))</f>
        <v/>
      </c>
      <c r="F7" s="84">
        <f>IF($A7="","",IF($B7=0,"—",IF($E7&gt;1,"বেশি হয়ে গেছে",IF($E7&gt;=0.8,"সতর্ক","ভালো"))))</f>
        <v/>
      </c>
    </row>
    <row r="8" ht="15" customHeight="1" s="52">
      <c r="A8" s="82" t="n"/>
      <c r="B8" s="83" t="n"/>
      <c r="C8" s="94">
        <f>IF($A8="","",SUMIF(INDIRECT("'"&amp;$B$2&amp;"'!$C$4:$C$203"),$A8,INDIRECT("'"&amp;$B$2&amp;"'!$E$4:$E$203")))</f>
        <v/>
      </c>
      <c r="D8" s="94">
        <f>IF($A8="","",$B8-$C8)</f>
        <v/>
      </c>
      <c r="E8" s="95">
        <f>IF($A8="","",IFERROR($C8/$B8,0))</f>
        <v/>
      </c>
      <c r="F8" s="84">
        <f>IF($A8="","",IF($B8=0,"—",IF($E8&gt;1,"বেশি হয়ে গেছে",IF($E8&gt;=0.8,"সতর্ক","ভালো"))))</f>
        <v/>
      </c>
    </row>
    <row r="9" ht="15" customHeight="1" s="52">
      <c r="A9" s="82" t="n"/>
      <c r="B9" s="83" t="n"/>
      <c r="C9" s="94">
        <f>IF($A9="","",SUMIF(INDIRECT("'"&amp;$B$2&amp;"'!$C$4:$C$203"),$A9,INDIRECT("'"&amp;$B$2&amp;"'!$E$4:$E$203")))</f>
        <v/>
      </c>
      <c r="D9" s="94">
        <f>IF($A9="","",$B9-$C9)</f>
        <v/>
      </c>
      <c r="E9" s="95">
        <f>IF($A9="","",IFERROR($C9/$B9,0))</f>
        <v/>
      </c>
      <c r="F9" s="84">
        <f>IF($A9="","",IF($B9=0,"—",IF($E9&gt;1,"বেশি হয়ে গেছে",IF($E9&gt;=0.8,"সতর্ক","ভালো"))))</f>
        <v/>
      </c>
    </row>
    <row r="10" ht="15" customHeight="1" s="52">
      <c r="A10" s="82" t="n"/>
      <c r="B10" s="83" t="n"/>
      <c r="C10" s="94">
        <f>IF($A10="","",SUMIF(INDIRECT("'"&amp;$B$2&amp;"'!$C$4:$C$203"),$A10,INDIRECT("'"&amp;$B$2&amp;"'!$E$4:$E$203")))</f>
        <v/>
      </c>
      <c r="D10" s="94">
        <f>IF($A10="","",$B10-$C10)</f>
        <v/>
      </c>
      <c r="E10" s="95">
        <f>IF($A10="","",IFERROR($C10/$B10,0))</f>
        <v/>
      </c>
      <c r="F10" s="84">
        <f>IF($A10="","",IF($B10=0,"—",IF($E10&gt;1,"বেশি হয়ে গেছে",IF($E10&gt;=0.8,"সতর্ক","ভালো"))))</f>
        <v/>
      </c>
    </row>
    <row r="11" ht="15" customHeight="1" s="52">
      <c r="A11" s="82" t="n"/>
      <c r="B11" s="83" t="n"/>
      <c r="C11" s="94">
        <f>IF($A11="","",SUMIF(INDIRECT("'"&amp;$B$2&amp;"'!$C$4:$C$203"),$A11,INDIRECT("'"&amp;$B$2&amp;"'!$E$4:$E$203")))</f>
        <v/>
      </c>
      <c r="D11" s="94">
        <f>IF($A11="","",$B11-$C11)</f>
        <v/>
      </c>
      <c r="E11" s="95">
        <f>IF($A11="","",IFERROR($C11/$B11,0))</f>
        <v/>
      </c>
      <c r="F11" s="84">
        <f>IF($A11="","",IF($B11=0,"—",IF($E11&gt;1,"বেশি হয়ে গেছে",IF($E11&gt;=0.8,"সতর্ক","ভালো"))))</f>
        <v/>
      </c>
    </row>
    <row r="12" ht="15" customHeight="1" s="52">
      <c r="A12" s="82" t="n"/>
      <c r="B12" s="83" t="n"/>
      <c r="C12" s="94">
        <f>IF($A12="","",SUMIF(INDIRECT("'"&amp;$B$2&amp;"'!$C$4:$C$203"),$A12,INDIRECT("'"&amp;$B$2&amp;"'!$E$4:$E$203")))</f>
        <v/>
      </c>
      <c r="D12" s="94">
        <f>IF($A12="","",$B12-$C12)</f>
        <v/>
      </c>
      <c r="E12" s="95">
        <f>IF($A12="","",IFERROR($C12/$B12,0))</f>
        <v/>
      </c>
      <c r="F12" s="84">
        <f>IF($A12="","",IF($B12=0,"—",IF($E12&gt;1,"বেশি হয়ে গেছে",IF($E12&gt;=0.8,"সতর্ক","ভালো"))))</f>
        <v/>
      </c>
    </row>
    <row r="13" ht="15" customHeight="1" s="52">
      <c r="A13" s="82" t="n"/>
      <c r="B13" s="83" t="n"/>
      <c r="C13" s="94">
        <f>IF($A13="","",SUMIF(INDIRECT("'"&amp;$B$2&amp;"'!$C$4:$C$203"),$A13,INDIRECT("'"&amp;$B$2&amp;"'!$E$4:$E$203")))</f>
        <v/>
      </c>
      <c r="D13" s="94">
        <f>IF($A13="","",$B13-$C13)</f>
        <v/>
      </c>
      <c r="E13" s="95">
        <f>IF($A13="","",IFERROR($C13/$B13,0))</f>
        <v/>
      </c>
      <c r="F13" s="84">
        <f>IF($A13="","",IF($B13=0,"—",IF($E13&gt;1,"বেশি হয়ে গেছে",IF($E13&gt;=0.8,"সতর্ক","ভালো"))))</f>
        <v/>
      </c>
    </row>
    <row r="14" ht="15" customHeight="1" s="52">
      <c r="A14" s="82" t="n"/>
      <c r="B14" s="83" t="n"/>
      <c r="C14" s="94">
        <f>IF($A14="","",SUMIF(INDIRECT("'"&amp;$B$2&amp;"'!$C$4:$C$203"),$A14,INDIRECT("'"&amp;$B$2&amp;"'!$E$4:$E$203")))</f>
        <v/>
      </c>
      <c r="D14" s="94">
        <f>IF($A14="","",$B14-$C14)</f>
        <v/>
      </c>
      <c r="E14" s="95">
        <f>IF($A14="","",IFERROR($C14/$B14,0))</f>
        <v/>
      </c>
      <c r="F14" s="84">
        <f>IF($A14="","",IF($B14=0,"—",IF($E14&gt;1,"বেশি হয়ে গেছে",IF($E14&gt;=0.8,"সতর্ক","ভালো"))))</f>
        <v/>
      </c>
    </row>
    <row r="15" ht="15" customHeight="1" s="52">
      <c r="A15" s="82" t="n"/>
      <c r="B15" s="83" t="n"/>
      <c r="C15" s="94">
        <f>IF($A15="","",SUMIF(INDIRECT("'"&amp;$B$2&amp;"'!$C$4:$C$203"),$A15,INDIRECT("'"&amp;$B$2&amp;"'!$E$4:$E$203")))</f>
        <v/>
      </c>
      <c r="D15" s="94">
        <f>IF($A15="","",$B15-$C15)</f>
        <v/>
      </c>
      <c r="E15" s="95">
        <f>IF($A15="","",IFERROR($C15/$B15,0))</f>
        <v/>
      </c>
      <c r="F15" s="84">
        <f>IF($A15="","",IF($B15=0,"—",IF($E15&gt;1,"বেশি হয়ে গেছে",IF($E15&gt;=0.8,"সতর্ক","ভালো"))))</f>
        <v/>
      </c>
    </row>
    <row r="16" ht="15" customHeight="1" s="52">
      <c r="A16" s="82" t="n"/>
      <c r="B16" s="83" t="n"/>
      <c r="C16" s="94">
        <f>IF($A16="","",SUMIF(INDIRECT("'"&amp;$B$2&amp;"'!$C$4:$C$203"),$A16,INDIRECT("'"&amp;$B$2&amp;"'!$E$4:$E$203")))</f>
        <v/>
      </c>
      <c r="D16" s="94">
        <f>IF($A16="","",$B16-$C16)</f>
        <v/>
      </c>
      <c r="E16" s="95">
        <f>IF($A16="","",IFERROR($C16/$B16,0))</f>
        <v/>
      </c>
      <c r="F16" s="84">
        <f>IF($A16="","",IF($B16=0,"—",IF($E16&gt;1,"বেশি হয়ে গেছে",IF($E16&gt;=0.8,"সতর্ক","ভালো"))))</f>
        <v/>
      </c>
    </row>
    <row r="17" ht="15" customHeight="1" s="52">
      <c r="A17" s="82" t="n"/>
      <c r="B17" s="83" t="n"/>
      <c r="C17" s="94">
        <f>IF($A17="","",SUMIF(INDIRECT("'"&amp;$B$2&amp;"'!$C$4:$C$203"),$A17,INDIRECT("'"&amp;$B$2&amp;"'!$E$4:$E$203")))</f>
        <v/>
      </c>
      <c r="D17" s="94">
        <f>IF($A17="","",$B17-$C17)</f>
        <v/>
      </c>
      <c r="E17" s="95">
        <f>IF($A17="","",IFERROR($C17/$B17,0))</f>
        <v/>
      </c>
      <c r="F17" s="84">
        <f>IF($A17="","",IF($B17=0,"—",IF($E17&gt;1,"বেশি হয়ে গেছে",IF($E17&gt;=0.8,"সতর্ক","ভালো"))))</f>
        <v/>
      </c>
    </row>
    <row r="18" ht="15" customHeight="1" s="52">
      <c r="A18" s="82" t="n"/>
      <c r="B18" s="83" t="n"/>
      <c r="C18" s="94">
        <f>IF($A18="","",SUMIF(INDIRECT("'"&amp;$B$2&amp;"'!$C$4:$C$203"),$A18,INDIRECT("'"&amp;$B$2&amp;"'!$E$4:$E$203")))</f>
        <v/>
      </c>
      <c r="D18" s="94">
        <f>IF($A18="","",$B18-$C18)</f>
        <v/>
      </c>
      <c r="E18" s="95">
        <f>IF($A18="","",IFERROR($C18/$B18,0))</f>
        <v/>
      </c>
      <c r="F18" s="84">
        <f>IF($A18="","",IF($B18=0,"—",IF($E18&gt;1,"বেশি হয়ে গেছে",IF($E18&gt;=0.8,"সতর্ক","ভালো"))))</f>
        <v/>
      </c>
    </row>
    <row r="19" ht="15" customHeight="1" s="52">
      <c r="A19" s="82" t="n"/>
      <c r="B19" s="83" t="n"/>
      <c r="C19" s="94">
        <f>IF($A19="","",SUMIF(INDIRECT("'"&amp;$B$2&amp;"'!$C$4:$C$203"),$A19,INDIRECT("'"&amp;$B$2&amp;"'!$E$4:$E$203")))</f>
        <v/>
      </c>
      <c r="D19" s="94">
        <f>IF($A19="","",$B19-$C19)</f>
        <v/>
      </c>
      <c r="E19" s="95">
        <f>IF($A19="","",IFERROR($C19/$B19,0))</f>
        <v/>
      </c>
      <c r="F19" s="84">
        <f>IF($A19="","",IF($B19=0,"—",IF($E19&gt;1,"বেশি হয়ে গেছে",IF($E19&gt;=0.8,"সতর্ক","ভালো"))))</f>
        <v/>
      </c>
    </row>
    <row r="20" ht="15" customHeight="1" s="52">
      <c r="A20" s="82" t="n"/>
      <c r="B20" s="83" t="n"/>
      <c r="C20" s="94">
        <f>IF($A20="","",SUMIF(INDIRECT("'"&amp;$B$2&amp;"'!$C$4:$C$203"),$A20,INDIRECT("'"&amp;$B$2&amp;"'!$E$4:$E$203")))</f>
        <v/>
      </c>
      <c r="D20" s="94">
        <f>IF($A20="","",$B20-$C20)</f>
        <v/>
      </c>
      <c r="E20" s="95">
        <f>IF($A20="","",IFERROR($C20/$B20,0))</f>
        <v/>
      </c>
      <c r="F20" s="84">
        <f>IF($A20="","",IF($B20=0,"—",IF($E20&gt;1,"বেশি হয়ে গেছে",IF($E20&gt;=0.8,"সতর্ক","ভালো"))))</f>
        <v/>
      </c>
    </row>
    <row r="21" ht="15" customHeight="1" s="52">
      <c r="A21" s="82" t="n"/>
      <c r="B21" s="83" t="n"/>
      <c r="C21" s="94">
        <f>IF($A21="","",SUMIF(INDIRECT("'"&amp;$B$2&amp;"'!$C$4:$C$203"),$A21,INDIRECT("'"&amp;$B$2&amp;"'!$E$4:$E$203")))</f>
        <v/>
      </c>
      <c r="D21" s="94">
        <f>IF($A21="","",$B21-$C21)</f>
        <v/>
      </c>
      <c r="E21" s="95">
        <f>IF($A21="","",IFERROR($C21/$B21,0))</f>
        <v/>
      </c>
      <c r="F21" s="84">
        <f>IF($A21="","",IF($B21=0,"—",IF($E21&gt;1,"বেশি হয়ে গেছে",IF($E21&gt;=0.8,"সতর্ক","ভালো"))))</f>
        <v/>
      </c>
    </row>
    <row r="22" ht="15" customHeight="1" s="52">
      <c r="A22" s="82" t="n"/>
      <c r="B22" s="83" t="n"/>
      <c r="C22" s="94">
        <f>IF($A22="","",SUMIF(INDIRECT("'"&amp;$B$2&amp;"'!$C$4:$C$203"),$A22,INDIRECT("'"&amp;$B$2&amp;"'!$E$4:$E$203")))</f>
        <v/>
      </c>
      <c r="D22" s="94">
        <f>IF($A22="","",$B22-$C22)</f>
        <v/>
      </c>
      <c r="E22" s="95">
        <f>IF($A22="","",IFERROR($C22/$B22,0))</f>
        <v/>
      </c>
      <c r="F22" s="84">
        <f>IF($A22="","",IF($B22=0,"—",IF($E22&gt;1,"বেশি হয়ে গেছে",IF($E22&gt;=0.8,"সতর্ক","ভালো"))))</f>
        <v/>
      </c>
    </row>
    <row r="23" ht="15" customHeight="1" s="52">
      <c r="A23" s="82" t="n"/>
      <c r="B23" s="83" t="n"/>
      <c r="C23" s="94">
        <f>IF($A23="","",SUMIF(INDIRECT("'"&amp;$B$2&amp;"'!$C$4:$C$203"),$A23,INDIRECT("'"&amp;$B$2&amp;"'!$E$4:$E$203")))</f>
        <v/>
      </c>
      <c r="D23" s="94">
        <f>IF($A23="","",$B23-$C23)</f>
        <v/>
      </c>
      <c r="E23" s="95">
        <f>IF($A23="","",IFERROR($C23/$B23,0))</f>
        <v/>
      </c>
      <c r="F23" s="84">
        <f>IF($A23="","",IF($B23=0,"—",IF($E23&gt;1,"বেশি হয়ে গেছে",IF($E23&gt;=0.8,"সতর্ক","ভালো"))))</f>
        <v/>
      </c>
    </row>
    <row r="24" ht="15" customHeight="1" s="52">
      <c r="A24" s="82" t="n"/>
      <c r="B24" s="83" t="n"/>
      <c r="C24" s="94">
        <f>IF($A24="","",SUMIF(INDIRECT("'"&amp;$B$2&amp;"'!$C$4:$C$203"),$A24,INDIRECT("'"&amp;$B$2&amp;"'!$E$4:$E$203")))</f>
        <v/>
      </c>
      <c r="D24" s="94">
        <f>IF($A24="","",$B24-$C24)</f>
        <v/>
      </c>
      <c r="E24" s="95">
        <f>IF($A24="","",IFERROR($C24/$B24,0))</f>
        <v/>
      </c>
      <c r="F24" s="84">
        <f>IF($A24="","",IF($B24=0,"—",IF($E24&gt;1,"বেশি হয়ে গেছে",IF($E24&gt;=0.8,"সতর্ক","ভালো"))))</f>
        <v/>
      </c>
    </row>
    <row r="25" ht="15" customHeight="1" s="52">
      <c r="A25" s="82" t="n"/>
      <c r="B25" s="83" t="n"/>
      <c r="C25" s="94">
        <f>IF($A25="","",SUMIF(INDIRECT("'"&amp;$B$2&amp;"'!$C$4:$C$203"),$A25,INDIRECT("'"&amp;$B$2&amp;"'!$E$4:$E$203")))</f>
        <v/>
      </c>
      <c r="D25" s="94">
        <f>IF($A25="","",$B25-$C25)</f>
        <v/>
      </c>
      <c r="E25" s="95">
        <f>IF($A25="","",IFERROR($C25/$B25,0))</f>
        <v/>
      </c>
      <c r="F25" s="84">
        <f>IF($A25="","",IF($B25=0,"—",IF($E25&gt;1,"বেশি হয়ে গেছে",IF($E25&gt;=0.8,"সতর্ক","ভালো"))))</f>
        <v/>
      </c>
    </row>
    <row r="26" ht="15" customHeight="1" s="52">
      <c r="A26" s="82" t="n"/>
      <c r="B26" s="83" t="n"/>
      <c r="C26" s="94">
        <f>IF($A26="","",SUMIF(INDIRECT("'"&amp;$B$2&amp;"'!$C$4:$C$203"),$A26,INDIRECT("'"&amp;$B$2&amp;"'!$E$4:$E$203")))</f>
        <v/>
      </c>
      <c r="D26" s="94">
        <f>IF($A26="","",$B26-$C26)</f>
        <v/>
      </c>
      <c r="E26" s="95">
        <f>IF($A26="","",IFERROR($C26/$B26,0))</f>
        <v/>
      </c>
      <c r="F26" s="84">
        <f>IF($A26="","",IF($B26=0,"—",IF($E26&gt;1,"বেশি হয়ে গেছে",IF($E26&gt;=0.8,"সতর্ক","ভালো"))))</f>
        <v/>
      </c>
    </row>
    <row r="27" ht="15" customHeight="1" s="52">
      <c r="A27" s="82" t="n"/>
      <c r="B27" s="83" t="n"/>
      <c r="C27" s="94">
        <f>IF($A27="","",SUMIF(INDIRECT("'"&amp;$B$2&amp;"'!$C$4:$C$203"),$A27,INDIRECT("'"&amp;$B$2&amp;"'!$E$4:$E$203")))</f>
        <v/>
      </c>
      <c r="D27" s="94">
        <f>IF($A27="","",$B27-$C27)</f>
        <v/>
      </c>
      <c r="E27" s="95">
        <f>IF($A27="","",IFERROR($C27/$B27,0))</f>
        <v/>
      </c>
      <c r="F27" s="84">
        <f>IF($A27="","",IF($B27=0,"—",IF($E27&gt;1,"বেশি হয়ে গেছে",IF($E27&gt;=0.8,"সতর্ক","ভালো"))))</f>
        <v/>
      </c>
    </row>
    <row r="28" ht="15" customHeight="1" s="52">
      <c r="A28" s="82" t="n"/>
      <c r="B28" s="83" t="n"/>
      <c r="C28" s="94">
        <f>IF($A28="","",SUMIF(INDIRECT("'"&amp;$B$2&amp;"'!$C$4:$C$203"),$A28,INDIRECT("'"&amp;$B$2&amp;"'!$E$4:$E$203")))</f>
        <v/>
      </c>
      <c r="D28" s="94">
        <f>IF($A28="","",$B28-$C28)</f>
        <v/>
      </c>
      <c r="E28" s="95">
        <f>IF($A28="","",IFERROR($C28/$B28,0))</f>
        <v/>
      </c>
      <c r="F28" s="84">
        <f>IF($A28="","",IF($B28=0,"—",IF($E28&gt;1,"বেশি হয়ে গেছে",IF($E28&gt;=0.8,"সতর্ক","ভালো"))))</f>
        <v/>
      </c>
    </row>
    <row r="29" ht="15" customHeight="1" s="52">
      <c r="A29" s="82" t="n"/>
      <c r="B29" s="83" t="n"/>
      <c r="C29" s="94">
        <f>IF($A29="","",SUMIF(INDIRECT("'"&amp;$B$2&amp;"'!$C$4:$C$203"),$A29,INDIRECT("'"&amp;$B$2&amp;"'!$E$4:$E$203")))</f>
        <v/>
      </c>
      <c r="D29" s="94">
        <f>IF($A29="","",$B29-$C29)</f>
        <v/>
      </c>
      <c r="E29" s="95">
        <f>IF($A29="","",IFERROR($C29/$B29,0))</f>
        <v/>
      </c>
      <c r="F29" s="84">
        <f>IF($A29="","",IF($B29=0,"—",IF($E29&gt;1,"বেশি হয়ে গেছে",IF($E29&gt;=0.8,"সতর্ক","ভালো"))))</f>
        <v/>
      </c>
    </row>
    <row r="30" ht="15" customHeight="1" s="52">
      <c r="A30" s="82" t="n"/>
      <c r="B30" s="83" t="n"/>
      <c r="C30" s="94">
        <f>IF($A30="","",SUMIF(INDIRECT("'"&amp;$B$2&amp;"'!$C$4:$C$203"),$A30,INDIRECT("'"&amp;$B$2&amp;"'!$E$4:$E$203")))</f>
        <v/>
      </c>
      <c r="D30" s="94">
        <f>IF($A30="","",$B30-$C30)</f>
        <v/>
      </c>
      <c r="E30" s="95">
        <f>IF($A30="","",IFERROR($C30/$B30,0))</f>
        <v/>
      </c>
      <c r="F30" s="84">
        <f>IF($A30="","",IF($B30=0,"—",IF($E30&gt;1,"বেশি হয়ে গেছে",IF($E30&gt;=0.8,"সতর্ক","ভালো"))))</f>
        <v/>
      </c>
    </row>
    <row r="31" ht="15" customHeight="1" s="52">
      <c r="A31" s="82" t="n"/>
      <c r="B31" s="83" t="n"/>
      <c r="C31" s="94">
        <f>IF($A31="","",SUMIF(INDIRECT("'"&amp;$B$2&amp;"'!$C$4:$C$203"),$A31,INDIRECT("'"&amp;$B$2&amp;"'!$E$4:$E$203")))</f>
        <v/>
      </c>
      <c r="D31" s="94">
        <f>IF($A31="","",$B31-$C31)</f>
        <v/>
      </c>
      <c r="E31" s="95">
        <f>IF($A31="","",IFERROR($C31/$B31,0))</f>
        <v/>
      </c>
      <c r="F31" s="84">
        <f>IF($A31="","",IF($B31=0,"—",IF($E31&gt;1,"বেশি হয়ে গেছে",IF($E31&gt;=0.8,"সতর্ক","ভালো"))))</f>
        <v/>
      </c>
    </row>
    <row r="32" ht="15" customHeight="1" s="52">
      <c r="A32" s="82" t="n"/>
      <c r="B32" s="83" t="n"/>
      <c r="C32" s="94">
        <f>IF($A32="","",SUMIF(INDIRECT("'"&amp;$B$2&amp;"'!$C$4:$C$203"),$A32,INDIRECT("'"&amp;$B$2&amp;"'!$E$4:$E$203")))</f>
        <v/>
      </c>
      <c r="D32" s="94">
        <f>IF($A32="","",$B32-$C32)</f>
        <v/>
      </c>
      <c r="E32" s="95">
        <f>IF($A32="","",IFERROR($C32/$B32,0))</f>
        <v/>
      </c>
      <c r="F32" s="84">
        <f>IF($A32="","",IF($B32=0,"—",IF($E32&gt;1,"বেশি হয়ে গেছে",IF($E32&gt;=0.8,"সতর্ক","ভালো"))))</f>
        <v/>
      </c>
    </row>
    <row r="33" ht="15" customHeight="1" s="52">
      <c r="A33" s="82" t="n"/>
      <c r="B33" s="83" t="n"/>
      <c r="C33" s="94">
        <f>IF($A33="","",SUMIF(INDIRECT("'"&amp;$B$2&amp;"'!$C$4:$C$203"),$A33,INDIRECT("'"&amp;$B$2&amp;"'!$E$4:$E$203")))</f>
        <v/>
      </c>
      <c r="D33" s="94">
        <f>IF($A33="","",$B33-$C33)</f>
        <v/>
      </c>
      <c r="E33" s="95">
        <f>IF($A33="","",IFERROR($C33/$B33,0))</f>
        <v/>
      </c>
      <c r="F33" s="84">
        <f>IF($A33="","",IF($B33=0,"—",IF($E33&gt;1,"বেশি হয়ে গেছে",IF($E33&gt;=0.8,"সতর্ক","ভালো"))))</f>
        <v/>
      </c>
    </row>
    <row r="34" ht="15" customHeight="1" s="52">
      <c r="A34" s="82" t="n"/>
      <c r="B34" s="83" t="n"/>
      <c r="C34" s="94">
        <f>IF($A34="","",SUMIF(INDIRECT("'"&amp;$B$2&amp;"'!$C$4:$C$203"),$A34,INDIRECT("'"&amp;$B$2&amp;"'!$E$4:$E$203")))</f>
        <v/>
      </c>
      <c r="D34" s="94">
        <f>IF($A34="","",$B34-$C34)</f>
        <v/>
      </c>
      <c r="E34" s="95">
        <f>IF($A34="","",IFERROR($C34/$B34,0))</f>
        <v/>
      </c>
      <c r="F34" s="84">
        <f>IF($A34="","",IF($B34=0,"—",IF($E34&gt;1,"বেশি হয়ে গেছে",IF($E34&gt;=0.8,"সতর্ক","ভালো"))))</f>
        <v/>
      </c>
    </row>
    <row r="35" ht="15" customHeight="1" s="52">
      <c r="A35" s="82" t="n"/>
      <c r="B35" s="83" t="n"/>
      <c r="C35" s="94">
        <f>IF($A35="","",SUMIF(INDIRECT("'"&amp;$B$2&amp;"'!$C$4:$C$203"),$A35,INDIRECT("'"&amp;$B$2&amp;"'!$E$4:$E$203")))</f>
        <v/>
      </c>
      <c r="D35" s="94">
        <f>IF($A35="","",$B35-$C35)</f>
        <v/>
      </c>
      <c r="E35" s="95">
        <f>IF($A35="","",IFERROR($C35/$B35,0))</f>
        <v/>
      </c>
      <c r="F35" s="84">
        <f>IF($A35="","",IF($B35=0,"—",IF($E35&gt;1,"বেশি হয়ে গেছে",IF($E35&gt;=0.8,"সতর্ক","ভালো"))))</f>
        <v/>
      </c>
    </row>
    <row r="36" ht="15" customHeight="1" s="52">
      <c r="A36" s="82" t="n"/>
      <c r="B36" s="83" t="n"/>
      <c r="C36" s="94">
        <f>IF($A36="","",SUMIF(INDIRECT("'"&amp;$B$2&amp;"'!$C$4:$C$203"),$A36,INDIRECT("'"&amp;$B$2&amp;"'!$E$4:$E$203")))</f>
        <v/>
      </c>
      <c r="D36" s="94">
        <f>IF($A36="","",$B36-$C36)</f>
        <v/>
      </c>
      <c r="E36" s="95">
        <f>IF($A36="","",IFERROR($C36/$B36,0))</f>
        <v/>
      </c>
      <c r="F36" s="84">
        <f>IF($A36="","",IF($B36=0,"—",IF($E36&gt;1,"বেশি হয়ে গেছে",IF($E36&gt;=0.8,"সতর্ক","ভালো"))))</f>
        <v/>
      </c>
    </row>
    <row r="37" ht="15" customHeight="1" s="52">
      <c r="A37" s="82" t="n"/>
      <c r="B37" s="83" t="n"/>
      <c r="C37" s="94">
        <f>IF($A37="","",SUMIF(INDIRECT("'"&amp;$B$2&amp;"'!$C$4:$C$203"),$A37,INDIRECT("'"&amp;$B$2&amp;"'!$E$4:$E$203")))</f>
        <v/>
      </c>
      <c r="D37" s="94">
        <f>IF($A37="","",$B37-$C37)</f>
        <v/>
      </c>
      <c r="E37" s="95">
        <f>IF($A37="","",IFERROR($C37/$B37,0))</f>
        <v/>
      </c>
      <c r="F37" s="84">
        <f>IF($A37="","",IF($B37=0,"—",IF($E37&gt;1,"বেশি হয়ে গেছে",IF($E37&gt;=0.8,"সতর্ক","ভালো"))))</f>
        <v/>
      </c>
    </row>
    <row r="38" ht="15" customHeight="1" s="52">
      <c r="A38" s="82" t="n"/>
      <c r="B38" s="83" t="n"/>
      <c r="C38" s="94">
        <f>IF($A38="","",SUMIF(INDIRECT("'"&amp;$B$2&amp;"'!$C$4:$C$203"),$A38,INDIRECT("'"&amp;$B$2&amp;"'!$E$4:$E$203")))</f>
        <v/>
      </c>
      <c r="D38" s="94">
        <f>IF($A38="","",$B38-$C38)</f>
        <v/>
      </c>
      <c r="E38" s="95">
        <f>IF($A38="","",IFERROR($C38/$B38,0))</f>
        <v/>
      </c>
      <c r="F38" s="84">
        <f>IF($A38="","",IF($B38=0,"—",IF($E38&gt;1,"বেশি হয়ে গেছে",IF($E38&gt;=0.8,"সতর্ক","ভালো"))))</f>
        <v/>
      </c>
    </row>
    <row r="39" ht="15" customHeight="1" s="52">
      <c r="A39" s="82" t="n"/>
      <c r="B39" s="83" t="n"/>
      <c r="C39" s="94">
        <f>IF($A39="","",SUMIF(INDIRECT("'"&amp;$B$2&amp;"'!$C$4:$C$203"),$A39,INDIRECT("'"&amp;$B$2&amp;"'!$E$4:$E$203")))</f>
        <v/>
      </c>
      <c r="D39" s="94">
        <f>IF($A39="","",$B39-$C39)</f>
        <v/>
      </c>
      <c r="E39" s="95">
        <f>IF($A39="","",IFERROR($C39/$B39,0))</f>
        <v/>
      </c>
      <c r="F39" s="84">
        <f>IF($A39="","",IF($B39=0,"—",IF($E39&gt;1,"বেশি হয়ে গেছে",IF($E39&gt;=0.8,"সতর্ক","ভালো"))))</f>
        <v/>
      </c>
    </row>
    <row r="40" ht="15" customHeight="1" s="52">
      <c r="A40" s="82" t="n"/>
      <c r="B40" s="83" t="n"/>
      <c r="C40" s="94">
        <f>IF($A40="","",SUMIF(INDIRECT("'"&amp;$B$2&amp;"'!$C$4:$C$203"),$A40,INDIRECT("'"&amp;$B$2&amp;"'!$E$4:$E$203")))</f>
        <v/>
      </c>
      <c r="D40" s="94">
        <f>IF($A40="","",$B40-$C40)</f>
        <v/>
      </c>
      <c r="E40" s="95">
        <f>IF($A40="","",IFERROR($C40/$B40,0))</f>
        <v/>
      </c>
      <c r="F40" s="84">
        <f>IF($A40="","",IF($B40=0,"—",IF($E40&gt;1,"বেশি হয়ে গেছে",IF($E40&gt;=0.8,"সতর্ক","ভালো"))))</f>
        <v/>
      </c>
    </row>
    <row r="41" ht="15" customHeight="1" s="52">
      <c r="A41" s="82" t="n"/>
      <c r="B41" s="83" t="n"/>
      <c r="C41" s="94">
        <f>IF($A41="","",SUMIF(INDIRECT("'"&amp;$B$2&amp;"'!$C$4:$C$203"),$A41,INDIRECT("'"&amp;$B$2&amp;"'!$E$4:$E$203")))</f>
        <v/>
      </c>
      <c r="D41" s="94">
        <f>IF($A41="","",$B41-$C41)</f>
        <v/>
      </c>
      <c r="E41" s="95">
        <f>IF($A41="","",IFERROR($C41/$B41,0))</f>
        <v/>
      </c>
      <c r="F41" s="84">
        <f>IF($A41="","",IF($B41=0,"—",IF($E41&gt;1,"বেশি হয়ে গেছে",IF($E41&gt;=0.8,"সতর্ক","ভালো"))))</f>
        <v/>
      </c>
    </row>
    <row r="42" ht="15" customHeight="1" s="52">
      <c r="A42" s="82" t="n"/>
      <c r="B42" s="83" t="n"/>
      <c r="C42" s="94">
        <f>IF($A42="","",SUMIF(INDIRECT("'"&amp;$B$2&amp;"'!$C$4:$C$203"),$A42,INDIRECT("'"&amp;$B$2&amp;"'!$E$4:$E$203")))</f>
        <v/>
      </c>
      <c r="D42" s="94">
        <f>IF($A42="","",$B42-$C42)</f>
        <v/>
      </c>
      <c r="E42" s="95">
        <f>IF($A42="","",IFERROR($C42/$B42,0))</f>
        <v/>
      </c>
      <c r="F42" s="84">
        <f>IF($A42="","",IF($B42=0,"—",IF($E42&gt;1,"বেশি হয়ে গেছে",IF($E42&gt;=0.8,"সতর্ক","ভালো"))))</f>
        <v/>
      </c>
    </row>
    <row r="43" ht="15" customHeight="1" s="52">
      <c r="A43" s="82" t="n"/>
      <c r="B43" s="83" t="n"/>
      <c r="C43" s="94">
        <f>IF($A43="","",SUMIF(INDIRECT("'"&amp;$B$2&amp;"'!$C$4:$C$203"),$A43,INDIRECT("'"&amp;$B$2&amp;"'!$E$4:$E$203")))</f>
        <v/>
      </c>
      <c r="D43" s="94">
        <f>IF($A43="","",$B43-$C43)</f>
        <v/>
      </c>
      <c r="E43" s="95">
        <f>IF($A43="","",IFERROR($C43/$B43,0))</f>
        <v/>
      </c>
      <c r="F43" s="84">
        <f>IF($A43="","",IF($B43=0,"—",IF($E43&gt;1,"বেশি হয়ে গেছে",IF($E43&gt;=0.8,"সতর্ক","ভালো"))))</f>
        <v/>
      </c>
    </row>
    <row r="44" ht="15" customHeight="1" s="52">
      <c r="A44" s="82" t="n"/>
      <c r="B44" s="83" t="n"/>
      <c r="C44" s="94">
        <f>IF($A44="","",SUMIF(INDIRECT("'"&amp;$B$2&amp;"'!$C$4:$C$203"),$A44,INDIRECT("'"&amp;$B$2&amp;"'!$E$4:$E$203")))</f>
        <v/>
      </c>
      <c r="D44" s="94">
        <f>IF($A44="","",$B44-$C44)</f>
        <v/>
      </c>
      <c r="E44" s="95">
        <f>IF($A44="","",IFERROR($C44/$B44,0))</f>
        <v/>
      </c>
      <c r="F44" s="84">
        <f>IF($A44="","",IF($B44=0,"—",IF($E44&gt;1,"বেশি হয়ে গেছে",IF($E44&gt;=0.8,"সতর্ক","ভালো"))))</f>
        <v/>
      </c>
    </row>
    <row r="45" ht="15" customHeight="1" s="52">
      <c r="A45" s="82" t="n"/>
      <c r="B45" s="83" t="n"/>
      <c r="C45" s="94">
        <f>IF($A45="","",SUMIF(INDIRECT("'"&amp;$B$2&amp;"'!$C$4:$C$203"),$A45,INDIRECT("'"&amp;$B$2&amp;"'!$E$4:$E$203")))</f>
        <v/>
      </c>
      <c r="D45" s="94">
        <f>IF($A45="","",$B45-$C45)</f>
        <v/>
      </c>
      <c r="E45" s="95">
        <f>IF($A45="","",IFERROR($C45/$B45,0))</f>
        <v/>
      </c>
      <c r="F45" s="84">
        <f>IF($A45="","",IF($B45=0,"—",IF($E45&gt;1,"বেশি হয়ে গেছে",IF($E45&gt;=0.8,"সতর্ক","ভালো"))))</f>
        <v/>
      </c>
    </row>
    <row r="46" ht="15" customHeight="1" s="52">
      <c r="A46" s="82" t="n"/>
      <c r="B46" s="83" t="n"/>
      <c r="C46" s="94">
        <f>IF($A46="","",SUMIF(INDIRECT("'"&amp;$B$2&amp;"'!$C$4:$C$203"),$A46,INDIRECT("'"&amp;$B$2&amp;"'!$E$4:$E$203")))</f>
        <v/>
      </c>
      <c r="D46" s="94">
        <f>IF($A46="","",$B46-$C46)</f>
        <v/>
      </c>
      <c r="E46" s="95">
        <f>IF($A46="","",IFERROR($C46/$B46,0))</f>
        <v/>
      </c>
      <c r="F46" s="84">
        <f>IF($A46="","",IF($B46=0,"—",IF($E46&gt;1,"বেশি হয়ে গেছে",IF($E46&gt;=0.8,"সতর্ক","ভালো"))))</f>
        <v/>
      </c>
    </row>
    <row r="47" ht="15" customHeight="1" s="52">
      <c r="A47" s="82" t="n"/>
      <c r="B47" s="83" t="n"/>
      <c r="C47" s="94">
        <f>IF($A47="","",SUMIF(INDIRECT("'"&amp;$B$2&amp;"'!$C$4:$C$203"),$A47,INDIRECT("'"&amp;$B$2&amp;"'!$E$4:$E$203")))</f>
        <v/>
      </c>
      <c r="D47" s="94">
        <f>IF($A47="","",$B47-$C47)</f>
        <v/>
      </c>
      <c r="E47" s="95">
        <f>IF($A47="","",IFERROR($C47/$B47,0))</f>
        <v/>
      </c>
      <c r="F47" s="84">
        <f>IF($A47="","",IF($B47=0,"—",IF($E47&gt;1,"বেশি হয়ে গেছে",IF($E47&gt;=0.8,"সতর্ক","ভালো"))))</f>
        <v/>
      </c>
    </row>
    <row r="48" ht="15" customHeight="1" s="52">
      <c r="A48" s="82" t="n"/>
      <c r="B48" s="83" t="n"/>
      <c r="C48" s="94">
        <f>IF($A48="","",SUMIF(INDIRECT("'"&amp;$B$2&amp;"'!$C$4:$C$203"),$A48,INDIRECT("'"&amp;$B$2&amp;"'!$E$4:$E$203")))</f>
        <v/>
      </c>
      <c r="D48" s="94">
        <f>IF($A48="","",$B48-$C48)</f>
        <v/>
      </c>
      <c r="E48" s="95">
        <f>IF($A48="","",IFERROR($C48/$B48,0))</f>
        <v/>
      </c>
      <c r="F48" s="84">
        <f>IF($A48="","",IF($B48=0,"—",IF($E48&gt;1,"বেশি হয়ে গেছে",IF($E48&gt;=0.8,"সতর্ক","ভালো"))))</f>
        <v/>
      </c>
    </row>
    <row r="49" ht="15" customHeight="1" s="52">
      <c r="A49" s="82" t="n"/>
      <c r="B49" s="83" t="n"/>
      <c r="C49" s="94">
        <f>IF($A49="","",SUMIF(INDIRECT("'"&amp;$B$2&amp;"'!$C$4:$C$203"),$A49,INDIRECT("'"&amp;$B$2&amp;"'!$E$4:$E$203")))</f>
        <v/>
      </c>
      <c r="D49" s="94">
        <f>IF($A49="","",$B49-$C49)</f>
        <v/>
      </c>
      <c r="E49" s="95">
        <f>IF($A49="","",IFERROR($C49/$B49,0))</f>
        <v/>
      </c>
      <c r="F49" s="84">
        <f>IF($A49="","",IF($B49=0,"—",IF($E49&gt;1,"বেশি হয়ে গেছে",IF($E49&gt;=0.8,"সতর্ক","ভালো"))))</f>
        <v/>
      </c>
    </row>
    <row r="50" ht="15" customHeight="1" s="52">
      <c r="A50" s="82" t="n"/>
      <c r="B50" s="83" t="n"/>
      <c r="C50" s="94">
        <f>IF($A50="","",SUMIF(INDIRECT("'"&amp;$B$2&amp;"'!$C$4:$C$203"),$A50,INDIRECT("'"&amp;$B$2&amp;"'!$E$4:$E$203")))</f>
        <v/>
      </c>
      <c r="D50" s="94">
        <f>IF($A50="","",$B50-$C50)</f>
        <v/>
      </c>
      <c r="E50" s="95">
        <f>IF($A50="","",IFERROR($C50/$B50,0))</f>
        <v/>
      </c>
      <c r="F50" s="84">
        <f>IF($A50="","",IF($B50=0,"—",IF($E50&gt;1,"বেশি হয়ে গেছে",IF($E50&gt;=0.8,"সতর্ক","ভালো"))))</f>
        <v/>
      </c>
    </row>
    <row r="51" ht="15" customHeight="1" s="52">
      <c r="A51" s="82" t="n"/>
      <c r="B51" s="83" t="n"/>
      <c r="C51" s="94">
        <f>IF($A51="","",SUMIF(INDIRECT("'"&amp;$B$2&amp;"'!$C$4:$C$203"),$A51,INDIRECT("'"&amp;$B$2&amp;"'!$E$4:$E$203")))</f>
        <v/>
      </c>
      <c r="D51" s="94">
        <f>IF($A51="","",$B51-$C51)</f>
        <v/>
      </c>
      <c r="E51" s="95">
        <f>IF($A51="","",IFERROR($C51/$B51,0))</f>
        <v/>
      </c>
      <c r="F51" s="84">
        <f>IF($A51="","",IF($B51=0,"—",IF($E51&gt;1,"বেশি হয়ে গেছে",IF($E51&gt;=0.8,"সতর্ক","ভালো"))))</f>
        <v/>
      </c>
    </row>
    <row r="52" ht="15" customHeight="1" s="52">
      <c r="A52" s="82" t="n"/>
      <c r="B52" s="83" t="n"/>
      <c r="C52" s="94">
        <f>IF($A52="","",SUMIF(INDIRECT("'"&amp;$B$2&amp;"'!$C$4:$C$203"),$A52,INDIRECT("'"&amp;$B$2&amp;"'!$E$4:$E$203")))</f>
        <v/>
      </c>
      <c r="D52" s="94">
        <f>IF($A52="","",$B52-$C52)</f>
        <v/>
      </c>
      <c r="E52" s="95">
        <f>IF($A52="","",IFERROR($C52/$B52,0))</f>
        <v/>
      </c>
      <c r="F52" s="84">
        <f>IF($A52="","",IF($B52=0,"—",IF($E52&gt;1,"বেশি হয়ে গেছে",IF($E52&gt;=0.8,"সতর্ক","ভালো"))))</f>
        <v/>
      </c>
    </row>
    <row r="53" ht="15" customHeight="1" s="52">
      <c r="A53" s="82" t="n"/>
      <c r="B53" s="83" t="n"/>
      <c r="C53" s="94">
        <f>IF($A53="","",SUMIF(INDIRECT("'"&amp;$B$2&amp;"'!$C$4:$C$203"),$A53,INDIRECT("'"&amp;$B$2&amp;"'!$E$4:$E$203")))</f>
        <v/>
      </c>
      <c r="D53" s="94">
        <f>IF($A53="","",$B53-$C53)</f>
        <v/>
      </c>
      <c r="E53" s="95">
        <f>IF($A53="","",IFERROR($C53/$B53,0))</f>
        <v/>
      </c>
      <c r="F53" s="84">
        <f>IF($A53="","",IF($B53=0,"—",IF($E53&gt;1,"বেশি হয়ে গেছে",IF($E53&gt;=0.8,"সতর্ক","ভালো"))))</f>
        <v/>
      </c>
    </row>
    <row r="54" ht="15" customHeight="1" s="52">
      <c r="A54" s="87" t="inlineStr">
        <is>
          <t>মোট</t>
        </is>
      </c>
      <c r="B54" s="88">
        <f>SUM($B$4:$B$53)</f>
        <v/>
      </c>
      <c r="C54" s="88">
        <f>SUM($C$4:$C$53)</f>
        <v/>
      </c>
      <c r="D54" s="88">
        <f>$B$54-$C$54</f>
        <v/>
      </c>
      <c r="E54" s="96">
        <f>IFERROR($C$54/$B$54,0)</f>
        <v/>
      </c>
      <c r="F54" s="87" t="inlineStr"/>
    </row>
    <row r="55" ht="15" customHeight="1" s="52">
      <c r="A55" s="97" t="inlineStr">
        <is>
          <t>বাজেটবিহীন খাতে খরচ</t>
        </is>
      </c>
      <c r="B55" s="87" t="inlineStr"/>
      <c r="C55" s="88">
        <f>IFERROR(INDIRECT("'"&amp;$B$2&amp;"'!$J$12")-$C$54,"")</f>
        <v/>
      </c>
      <c r="D55" s="87" t="inlineStr"/>
      <c r="E55" s="87" t="inlineStr"/>
      <c r="F55" s="87" t="inlineStr"/>
    </row>
  </sheetData>
  <mergeCells count="2">
    <mergeCell ref="E2:F2"/>
    <mergeCell ref="A1:F1"/>
  </mergeCells>
  <conditionalFormatting sqref="A4:F53">
    <cfRule type="expression" priority="1" dxfId="8" stopIfTrue="1">
      <formula>AND($A4&lt;&gt;"",$B4&gt;0,$E4&gt;1)</formula>
    </cfRule>
    <cfRule type="expression" priority="2" dxfId="9" stopIfTrue="0">
      <formula>AND($A4&lt;&gt;"",$B4&gt;0,$E4&gt;=0.8)</formula>
    </cfRule>
  </conditionalFormatting>
  <dataValidations count="4">
    <dataValidation sqref="B2" showDropDown="0" showInputMessage="0" showErrorMessage="1" allowBlank="1" errorTitle="মাস বেছে নিন" error="ড্রপ-ডাউন থেকে একটি মাসিক শিটের নাম বেছে নিন।" type="list" errorStyle="stop">
      <formula1>=MonthTabs</formula1>
    </dataValidation>
    <dataValidation sqref="A4:A53" showDropDown="0" showInputMessage="0" showErrorMessage="1" allowBlank="1" errorTitle="খাত তালিকায় নেই" error="‘সেটিংস’ শিটের তালিকা থেকে খাত বেছে নিন।" type="list" errorStyle="stop">
      <formula1>=CategoryList</formula1>
    </dataValidation>
    <dataValidation sqref="B4:B53" showDropDown="0" showInputMessage="0" showErrorMessage="1" allowBlank="1" errorTitle="সীমা ঠিক নয়" error="শুধু শূন্য বা তার বেশি সংখ্যা লিখুন।" type="decimal" errorStyle="stop" operator="greaterThanOrEqual">
      <formula1>0</formula1>
    </dataValidation>
    <dataValidation sqref="D2" showDropDown="0" showInputMessage="0" showErrorMessage="1" allowBlank="1" errorTitle="বাজেট ঠিক নয়" error="শুধু শূন্য বা তার বেশি সংখ্যা লিখুন।" type="decimal" errorStyle="stop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F3864"/>
    <outlinePr summaryBelow="1" summaryRight="1"/>
    <pageSetUpPr/>
  </sheetPr>
  <dimension ref="A1:M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style="52" min="1" max="1"/>
    <col width="24" customWidth="1" style="52" min="2" max="2"/>
    <col width="15" customWidth="1" style="52" min="3" max="3"/>
    <col width="22" customWidth="1" style="52" min="4" max="4"/>
    <col width="30" customWidth="1" style="52" min="5" max="5"/>
    <col width="18" customWidth="1" style="52" min="6" max="6"/>
    <col width="15" customWidth="1" style="52" min="7" max="7"/>
    <col width="15" customWidth="1" style="52" min="8" max="8"/>
    <col width="11" customWidth="1" style="52" min="9" max="9"/>
    <col width="19" customWidth="1" style="52" min="10" max="10"/>
    <col width="3" customWidth="1" style="52" min="11" max="11"/>
    <col width="32" customWidth="1" style="52" min="12" max="12"/>
    <col width="17" customWidth="1" style="52" min="13" max="13"/>
  </cols>
  <sheetData>
    <row r="1" ht="25.5" customHeight="1" s="52">
      <c r="A1" s="77" t="inlineStr">
        <is>
          <t>পুনরাবৃত্ত খরচ  —  নিয়মিত বিল ও কিস্তি</t>
        </is>
      </c>
      <c r="L1" s="78" t="inlineStr">
        <is>
          <t>সারসংক্ষেপ</t>
        </is>
      </c>
    </row>
    <row r="2" ht="15.75" customHeight="1" s="52">
      <c r="A2" s="79" t="inlineStr">
        <is>
          <t>অ্যাপ থেকে সিঙ্ক করলে এই শিটের ৪–১০৩ সারি সম্পূর্ণ নতুন করে লেখা হয়। ‘গ্রুপ’ ও ‘মাসিক সমমান’ কলাম স্বয়ংক্রিয় — এখানে কিছু লিখবেন না। এগুলো নিয়ম, খরচ নয়: প্রকৃত খরচ মাসিক শিটে যায়।</t>
        </is>
      </c>
    </row>
    <row r="3" ht="21.75" customHeight="1" s="52">
      <c r="A3" s="80" t="inlineStr">
        <is>
          <t>খাত</t>
        </is>
      </c>
      <c r="B3" s="80" t="inlineStr">
        <is>
          <t>গ্রুপ</t>
        </is>
      </c>
      <c r="C3" s="80" t="inlineStr">
        <is>
          <t>পরিমাণ (৳)</t>
        </is>
      </c>
      <c r="D3" s="80" t="inlineStr">
        <is>
          <t>পেমেন্ট মাধ্যম</t>
        </is>
      </c>
      <c r="E3" s="80" t="inlineStr">
        <is>
          <t>বিবরণ</t>
        </is>
      </c>
      <c r="F3" s="80" t="inlineStr">
        <is>
          <t>কত দিন পর পর</t>
        </is>
      </c>
      <c r="G3" s="80" t="inlineStr">
        <is>
          <t>শুরুর তারিখ</t>
        </is>
      </c>
      <c r="H3" s="80" t="inlineStr">
        <is>
          <t>পরবর্তী</t>
        </is>
      </c>
      <c r="I3" s="80" t="inlineStr">
        <is>
          <t>চালু?</t>
        </is>
      </c>
      <c r="J3" s="80" t="inlineStr">
        <is>
          <t>মাসিক সমমান (৳)</t>
        </is>
      </c>
      <c r="L3" s="80" t="inlineStr">
        <is>
          <t>হিসাব</t>
        </is>
      </c>
      <c r="M3" s="80" t="inlineStr">
        <is>
          <t>মান</t>
        </is>
      </c>
    </row>
    <row r="4" ht="15" customHeight="1" s="52">
      <c r="A4" s="82" t="n"/>
      <c r="B4" s="98">
        <f>IFERROR(INDEX(GroupLookup,MATCH($A4,CategoryList,0)),"")</f>
        <v/>
      </c>
      <c r="C4" s="83" t="n"/>
      <c r="D4" s="82" t="n"/>
      <c r="E4" s="82" t="n"/>
      <c r="F4" s="99" t="n"/>
      <c r="G4" s="81" t="n"/>
      <c r="H4" s="81" t="n"/>
      <c r="I4" s="99" t="n"/>
      <c r="J4" s="94">
        <f>IF($A4="","",IF($I4&lt;&gt;"চালু",0,$C4*IF($F4="প্রতিদিন",30,IF($F4="প্রতি সপ্তাহে",4.33,IF($F4="প্রতি মাসে",1,IF($F4="প্রতি বছরে",1/12,0))))))</f>
        <v/>
      </c>
      <c r="L4" s="85" t="inlineStr">
        <is>
          <t>চালু নিয়ম</t>
        </is>
      </c>
      <c r="M4" s="89">
        <f>COUNTIF($I$4:$I$103,"চালু")</f>
        <v/>
      </c>
    </row>
    <row r="5" ht="15" customHeight="1" s="52">
      <c r="A5" s="82" t="n"/>
      <c r="B5" s="98">
        <f>IFERROR(INDEX(GroupLookup,MATCH($A5,CategoryList,0)),"")</f>
        <v/>
      </c>
      <c r="C5" s="83" t="n"/>
      <c r="D5" s="82" t="n"/>
      <c r="E5" s="82" t="n"/>
      <c r="F5" s="99" t="n"/>
      <c r="G5" s="81" t="n"/>
      <c r="H5" s="81" t="n"/>
      <c r="I5" s="99" t="n"/>
      <c r="J5" s="94">
        <f>IF($A5="","",IF($I5&lt;&gt;"চালু",0,$C5*IF($F5="প্রতিদিন",30,IF($F5="প্রতি সপ্তাহে",4.33,IF($F5="প্রতি মাসে",1,IF($F5="প্রতি বছরে",1/12,0))))))</f>
        <v/>
      </c>
      <c r="L5" s="85" t="inlineStr">
        <is>
          <t>বন্ধ নিয়ম</t>
        </is>
      </c>
      <c r="M5" s="89">
        <f>COUNTIF($I$4:$I$103,"বন্ধ")</f>
        <v/>
      </c>
    </row>
    <row r="6" ht="15" customHeight="1" s="52">
      <c r="A6" s="82" t="n"/>
      <c r="B6" s="98">
        <f>IFERROR(INDEX(GroupLookup,MATCH($A6,CategoryList,0)),"")</f>
        <v/>
      </c>
      <c r="C6" s="83" t="n"/>
      <c r="D6" s="82" t="n"/>
      <c r="E6" s="82" t="n"/>
      <c r="F6" s="99" t="n"/>
      <c r="G6" s="81" t="n"/>
      <c r="H6" s="81" t="n"/>
      <c r="I6" s="99" t="n"/>
      <c r="J6" s="94">
        <f>IF($A6="","",IF($I6&lt;&gt;"চালু",0,$C6*IF($F6="প্রতিদিন",30,IF($F6="প্রতি সপ্তাহে",4.33,IF($F6="প্রতি মাসে",1,IF($F6="প্রতি বছরে",1/12,0))))))</f>
        <v/>
      </c>
      <c r="L6" s="87" t="inlineStr">
        <is>
          <t>মোট মাসিক প্রতিশ্রুতি</t>
        </is>
      </c>
      <c r="M6" s="88">
        <f>SUM($J$4:$J$103)</f>
        <v/>
      </c>
    </row>
    <row r="7" ht="15" customHeight="1" s="52">
      <c r="A7" s="82" t="n"/>
      <c r="B7" s="98">
        <f>IFERROR(INDEX(GroupLookup,MATCH($A7,CategoryList,0)),"")</f>
        <v/>
      </c>
      <c r="C7" s="83" t="n"/>
      <c r="D7" s="82" t="n"/>
      <c r="E7" s="82" t="n"/>
      <c r="F7" s="99" t="n"/>
      <c r="G7" s="81" t="n"/>
      <c r="H7" s="81" t="n"/>
      <c r="I7" s="99" t="n"/>
      <c r="J7" s="94">
        <f>IF($A7="","",IF($I7&lt;&gt;"চালু",0,$C7*IF($F7="প্রতিদিন",30,IF($F7="প্রতি সপ্তাহে",4.33,IF($F7="প্রতি মাসে",1,IF($F7="প্রতি বছরে",1/12,0))))))</f>
        <v/>
      </c>
      <c r="L7" s="87" t="inlineStr">
        <is>
          <t>মোট বার্ষিক প্রতিশ্রুতি</t>
        </is>
      </c>
      <c r="M7" s="88">
        <f>$M$6*12</f>
        <v/>
      </c>
    </row>
    <row r="8" ht="15" customHeight="1" s="52">
      <c r="A8" s="82" t="n"/>
      <c r="B8" s="98">
        <f>IFERROR(INDEX(GroupLookup,MATCH($A8,CategoryList,0)),"")</f>
        <v/>
      </c>
      <c r="C8" s="83" t="n"/>
      <c r="D8" s="82" t="n"/>
      <c r="E8" s="82" t="n"/>
      <c r="F8" s="99" t="n"/>
      <c r="G8" s="81" t="n"/>
      <c r="H8" s="81" t="n"/>
      <c r="I8" s="99" t="n"/>
      <c r="J8" s="94">
        <f>IF($A8="","",IF($I8&lt;&gt;"চালু",0,$C8*IF($F8="প্রতিদিন",30,IF($F8="প্রতি সপ্তাহে",4.33,IF($F8="প্রতি মাসে",1,IF($F8="প্রতি বছরে",1/12,0))))))</f>
        <v/>
      </c>
      <c r="L8" s="85" t="inlineStr">
        <is>
          <t>পরবর্তী তারিখ পেরিয়ে গেছে</t>
        </is>
      </c>
      <c r="M8" s="89">
        <f>COUNTIFS($I$4:$I$103,"চালু",$H$4:$H$103,"&lt;"&amp;TODAY())</f>
        <v/>
      </c>
    </row>
    <row r="9" ht="15" customHeight="1" s="52">
      <c r="A9" s="82" t="n"/>
      <c r="B9" s="98">
        <f>IFERROR(INDEX(GroupLookup,MATCH($A9,CategoryList,0)),"")</f>
        <v/>
      </c>
      <c r="C9" s="83" t="n"/>
      <c r="D9" s="82" t="n"/>
      <c r="E9" s="82" t="n"/>
      <c r="F9" s="99" t="n"/>
      <c r="G9" s="81" t="n"/>
      <c r="H9" s="81" t="n"/>
      <c r="I9" s="99" t="n"/>
      <c r="J9" s="94">
        <f>IF($A9="","",IF($I9&lt;&gt;"চালু",0,$C9*IF($F9="প্রতিদিন",30,IF($F9="প্রতি সপ্তাহে",4.33,IF($F9="প্রতি মাসে",1,IF($F9="প্রতি বছরে",1/12,0))))))</f>
        <v/>
      </c>
    </row>
    <row r="10" ht="15" customHeight="1" s="52">
      <c r="A10" s="82" t="n"/>
      <c r="B10" s="98">
        <f>IFERROR(INDEX(GroupLookup,MATCH($A10,CategoryList,0)),"")</f>
        <v/>
      </c>
      <c r="C10" s="83" t="n"/>
      <c r="D10" s="82" t="n"/>
      <c r="E10" s="82" t="n"/>
      <c r="F10" s="99" t="n"/>
      <c r="G10" s="81" t="n"/>
      <c r="H10" s="81" t="n"/>
      <c r="I10" s="99" t="n"/>
      <c r="J10" s="94">
        <f>IF($A10="","",IF($I10&lt;&gt;"চালু",0,$C10*IF($F10="প্রতিদিন",30,IF($F10="প্রতি সপ্তাহে",4.33,IF($F10="প্রতি মাসে",1,IF($F10="প্রতি বছরে",1/12,0))))))</f>
        <v/>
      </c>
    </row>
    <row r="11" ht="15" customHeight="1" s="52">
      <c r="A11" s="82" t="n"/>
      <c r="B11" s="98">
        <f>IFERROR(INDEX(GroupLookup,MATCH($A11,CategoryList,0)),"")</f>
        <v/>
      </c>
      <c r="C11" s="83" t="n"/>
      <c r="D11" s="82" t="n"/>
      <c r="E11" s="82" t="n"/>
      <c r="F11" s="99" t="n"/>
      <c r="G11" s="81" t="n"/>
      <c r="H11" s="81" t="n"/>
      <c r="I11" s="99" t="n"/>
      <c r="J11" s="94">
        <f>IF($A11="","",IF($I11&lt;&gt;"চালু",0,$C11*IF($F11="প্রতিদিন",30,IF($F11="প্রতি সপ্তাহে",4.33,IF($F11="প্রতি মাসে",1,IF($F11="প্রতি বছরে",1/12,0))))))</f>
        <v/>
      </c>
    </row>
    <row r="12" ht="15" customHeight="1" s="52">
      <c r="A12" s="82" t="n"/>
      <c r="B12" s="98">
        <f>IFERROR(INDEX(GroupLookup,MATCH($A12,CategoryList,0)),"")</f>
        <v/>
      </c>
      <c r="C12" s="83" t="n"/>
      <c r="D12" s="82" t="n"/>
      <c r="E12" s="82" t="n"/>
      <c r="F12" s="99" t="n"/>
      <c r="G12" s="81" t="n"/>
      <c r="H12" s="81" t="n"/>
      <c r="I12" s="99" t="n"/>
      <c r="J12" s="94">
        <f>IF($A12="","",IF($I12&lt;&gt;"চালু",0,$C12*IF($F12="প্রতিদিন",30,IF($F12="প্রতি সপ্তাহে",4.33,IF($F12="প্রতি মাসে",1,IF($F12="প্রতি বছরে",1/12,0))))))</f>
        <v/>
      </c>
    </row>
    <row r="13" ht="15" customHeight="1" s="52">
      <c r="A13" s="82" t="n"/>
      <c r="B13" s="98">
        <f>IFERROR(INDEX(GroupLookup,MATCH($A13,CategoryList,0)),"")</f>
        <v/>
      </c>
      <c r="C13" s="83" t="n"/>
      <c r="D13" s="82" t="n"/>
      <c r="E13" s="82" t="n"/>
      <c r="F13" s="99" t="n"/>
      <c r="G13" s="81" t="n"/>
      <c r="H13" s="81" t="n"/>
      <c r="I13" s="99" t="n"/>
      <c r="J13" s="94">
        <f>IF($A13="","",IF($I13&lt;&gt;"চালু",0,$C13*IF($F13="প্রতিদিন",30,IF($F13="প্রতি সপ্তাহে",4.33,IF($F13="প্রতি মাসে",1,IF($F13="প্রতি বছরে",1/12,0))))))</f>
        <v/>
      </c>
    </row>
    <row r="14" ht="15" customHeight="1" s="52">
      <c r="A14" s="82" t="n"/>
      <c r="B14" s="98">
        <f>IFERROR(INDEX(GroupLookup,MATCH($A14,CategoryList,0)),"")</f>
        <v/>
      </c>
      <c r="C14" s="83" t="n"/>
      <c r="D14" s="82" t="n"/>
      <c r="E14" s="82" t="n"/>
      <c r="F14" s="99" t="n"/>
      <c r="G14" s="81" t="n"/>
      <c r="H14" s="81" t="n"/>
      <c r="I14" s="99" t="n"/>
      <c r="J14" s="94">
        <f>IF($A14="","",IF($I14&lt;&gt;"চালু",0,$C14*IF($F14="প্রতিদিন",30,IF($F14="প্রতি সপ্তাহে",4.33,IF($F14="প্রতি মাসে",1,IF($F14="প্রতি বছরে",1/12,0))))))</f>
        <v/>
      </c>
    </row>
    <row r="15" ht="15" customHeight="1" s="52">
      <c r="A15" s="82" t="n"/>
      <c r="B15" s="98">
        <f>IFERROR(INDEX(GroupLookup,MATCH($A15,CategoryList,0)),"")</f>
        <v/>
      </c>
      <c r="C15" s="83" t="n"/>
      <c r="D15" s="82" t="n"/>
      <c r="E15" s="82" t="n"/>
      <c r="F15" s="99" t="n"/>
      <c r="G15" s="81" t="n"/>
      <c r="H15" s="81" t="n"/>
      <c r="I15" s="99" t="n"/>
      <c r="J15" s="94">
        <f>IF($A15="","",IF($I15&lt;&gt;"চালু",0,$C15*IF($F15="প্রতিদিন",30,IF($F15="প্রতি সপ্তাহে",4.33,IF($F15="প্রতি মাসে",1,IF($F15="প্রতি বছরে",1/12,0))))))</f>
        <v/>
      </c>
    </row>
    <row r="16" ht="15" customHeight="1" s="52">
      <c r="A16" s="82" t="n"/>
      <c r="B16" s="98">
        <f>IFERROR(INDEX(GroupLookup,MATCH($A16,CategoryList,0)),"")</f>
        <v/>
      </c>
      <c r="C16" s="83" t="n"/>
      <c r="D16" s="82" t="n"/>
      <c r="E16" s="82" t="n"/>
      <c r="F16" s="99" t="n"/>
      <c r="G16" s="81" t="n"/>
      <c r="H16" s="81" t="n"/>
      <c r="I16" s="99" t="n"/>
      <c r="J16" s="94">
        <f>IF($A16="","",IF($I16&lt;&gt;"চালু",0,$C16*IF($F16="প্রতিদিন",30,IF($F16="প্রতি সপ্তাহে",4.33,IF($F16="প্রতি মাসে",1,IF($F16="প্রতি বছরে",1/12,0))))))</f>
        <v/>
      </c>
    </row>
    <row r="17" ht="15" customHeight="1" s="52">
      <c r="A17" s="82" t="n"/>
      <c r="B17" s="98">
        <f>IFERROR(INDEX(GroupLookup,MATCH($A17,CategoryList,0)),"")</f>
        <v/>
      </c>
      <c r="C17" s="83" t="n"/>
      <c r="D17" s="82" t="n"/>
      <c r="E17" s="82" t="n"/>
      <c r="F17" s="99" t="n"/>
      <c r="G17" s="81" t="n"/>
      <c r="H17" s="81" t="n"/>
      <c r="I17" s="99" t="n"/>
      <c r="J17" s="94">
        <f>IF($A17="","",IF($I17&lt;&gt;"চালু",0,$C17*IF($F17="প্রতিদিন",30,IF($F17="প্রতি সপ্তাহে",4.33,IF($F17="প্রতি মাসে",1,IF($F17="প্রতি বছরে",1/12,0))))))</f>
        <v/>
      </c>
    </row>
    <row r="18" ht="15" customHeight="1" s="52">
      <c r="A18" s="82" t="n"/>
      <c r="B18" s="98">
        <f>IFERROR(INDEX(GroupLookup,MATCH($A18,CategoryList,0)),"")</f>
        <v/>
      </c>
      <c r="C18" s="83" t="n"/>
      <c r="D18" s="82" t="n"/>
      <c r="E18" s="82" t="n"/>
      <c r="F18" s="99" t="n"/>
      <c r="G18" s="81" t="n"/>
      <c r="H18" s="81" t="n"/>
      <c r="I18" s="99" t="n"/>
      <c r="J18" s="94">
        <f>IF($A18="","",IF($I18&lt;&gt;"চালু",0,$C18*IF($F18="প্রতিদিন",30,IF($F18="প্রতি সপ্তাহে",4.33,IF($F18="প্রতি মাসে",1,IF($F18="প্রতি বছরে",1/12,0))))))</f>
        <v/>
      </c>
    </row>
    <row r="19" ht="15" customHeight="1" s="52">
      <c r="A19" s="82" t="n"/>
      <c r="B19" s="98">
        <f>IFERROR(INDEX(GroupLookup,MATCH($A19,CategoryList,0)),"")</f>
        <v/>
      </c>
      <c r="C19" s="83" t="n"/>
      <c r="D19" s="82" t="n"/>
      <c r="E19" s="82" t="n"/>
      <c r="F19" s="99" t="n"/>
      <c r="G19" s="81" t="n"/>
      <c r="H19" s="81" t="n"/>
      <c r="I19" s="99" t="n"/>
      <c r="J19" s="94">
        <f>IF($A19="","",IF($I19&lt;&gt;"চালু",0,$C19*IF($F19="প্রতিদিন",30,IF($F19="প্রতি সপ্তাহে",4.33,IF($F19="প্রতি মাসে",1,IF($F19="প্রতি বছরে",1/12,0))))))</f>
        <v/>
      </c>
    </row>
    <row r="20" ht="15" customHeight="1" s="52">
      <c r="A20" s="82" t="n"/>
      <c r="B20" s="98">
        <f>IFERROR(INDEX(GroupLookup,MATCH($A20,CategoryList,0)),"")</f>
        <v/>
      </c>
      <c r="C20" s="83" t="n"/>
      <c r="D20" s="82" t="n"/>
      <c r="E20" s="82" t="n"/>
      <c r="F20" s="99" t="n"/>
      <c r="G20" s="81" t="n"/>
      <c r="H20" s="81" t="n"/>
      <c r="I20" s="99" t="n"/>
      <c r="J20" s="94">
        <f>IF($A20="","",IF($I20&lt;&gt;"চালু",0,$C20*IF($F20="প্রতিদিন",30,IF($F20="প্রতি সপ্তাহে",4.33,IF($F20="প্রতি মাসে",1,IF($F20="প্রতি বছরে",1/12,0))))))</f>
        <v/>
      </c>
    </row>
    <row r="21" ht="15" customHeight="1" s="52">
      <c r="A21" s="82" t="n"/>
      <c r="B21" s="98">
        <f>IFERROR(INDEX(GroupLookup,MATCH($A21,CategoryList,0)),"")</f>
        <v/>
      </c>
      <c r="C21" s="83" t="n"/>
      <c r="D21" s="82" t="n"/>
      <c r="E21" s="82" t="n"/>
      <c r="F21" s="99" t="n"/>
      <c r="G21" s="81" t="n"/>
      <c r="H21" s="81" t="n"/>
      <c r="I21" s="99" t="n"/>
      <c r="J21" s="94">
        <f>IF($A21="","",IF($I21&lt;&gt;"চালু",0,$C21*IF($F21="প্রতিদিন",30,IF($F21="প্রতি সপ্তাহে",4.33,IF($F21="প্রতি মাসে",1,IF($F21="প্রতি বছরে",1/12,0))))))</f>
        <v/>
      </c>
    </row>
    <row r="22" ht="15" customHeight="1" s="52">
      <c r="A22" s="82" t="n"/>
      <c r="B22" s="98">
        <f>IFERROR(INDEX(GroupLookup,MATCH($A22,CategoryList,0)),"")</f>
        <v/>
      </c>
      <c r="C22" s="83" t="n"/>
      <c r="D22" s="82" t="n"/>
      <c r="E22" s="82" t="n"/>
      <c r="F22" s="99" t="n"/>
      <c r="G22" s="81" t="n"/>
      <c r="H22" s="81" t="n"/>
      <c r="I22" s="99" t="n"/>
      <c r="J22" s="94">
        <f>IF($A22="","",IF($I22&lt;&gt;"চালু",0,$C22*IF($F22="প্রতিদিন",30,IF($F22="প্রতি সপ্তাহে",4.33,IF($F22="প্রতি মাসে",1,IF($F22="প্রতি বছরে",1/12,0))))))</f>
        <v/>
      </c>
    </row>
    <row r="23" ht="15" customHeight="1" s="52">
      <c r="A23" s="82" t="n"/>
      <c r="B23" s="98">
        <f>IFERROR(INDEX(GroupLookup,MATCH($A23,CategoryList,0)),"")</f>
        <v/>
      </c>
      <c r="C23" s="83" t="n"/>
      <c r="D23" s="82" t="n"/>
      <c r="E23" s="82" t="n"/>
      <c r="F23" s="99" t="n"/>
      <c r="G23" s="81" t="n"/>
      <c r="H23" s="81" t="n"/>
      <c r="I23" s="99" t="n"/>
      <c r="J23" s="94">
        <f>IF($A23="","",IF($I23&lt;&gt;"চালু",0,$C23*IF($F23="প্রতিদিন",30,IF($F23="প্রতি সপ্তাহে",4.33,IF($F23="প্রতি মাসে",1,IF($F23="প্রতি বছরে",1/12,0))))))</f>
        <v/>
      </c>
    </row>
    <row r="24" ht="15" customHeight="1" s="52">
      <c r="A24" s="82" t="n"/>
      <c r="B24" s="98">
        <f>IFERROR(INDEX(GroupLookup,MATCH($A24,CategoryList,0)),"")</f>
        <v/>
      </c>
      <c r="C24" s="83" t="n"/>
      <c r="D24" s="82" t="n"/>
      <c r="E24" s="82" t="n"/>
      <c r="F24" s="99" t="n"/>
      <c r="G24" s="81" t="n"/>
      <c r="H24" s="81" t="n"/>
      <c r="I24" s="99" t="n"/>
      <c r="J24" s="94">
        <f>IF($A24="","",IF($I24&lt;&gt;"চালু",0,$C24*IF($F24="প্রতিদিন",30,IF($F24="প্রতি সপ্তাহে",4.33,IF($F24="প্রতি মাসে",1,IF($F24="প্রতি বছরে",1/12,0))))))</f>
        <v/>
      </c>
    </row>
    <row r="25" ht="15" customHeight="1" s="52">
      <c r="A25" s="82" t="n"/>
      <c r="B25" s="98">
        <f>IFERROR(INDEX(GroupLookup,MATCH($A25,CategoryList,0)),"")</f>
        <v/>
      </c>
      <c r="C25" s="83" t="n"/>
      <c r="D25" s="82" t="n"/>
      <c r="E25" s="82" t="n"/>
      <c r="F25" s="99" t="n"/>
      <c r="G25" s="81" t="n"/>
      <c r="H25" s="81" t="n"/>
      <c r="I25" s="99" t="n"/>
      <c r="J25" s="94">
        <f>IF($A25="","",IF($I25&lt;&gt;"চালু",0,$C25*IF($F25="প্রতিদিন",30,IF($F25="প্রতি সপ্তাহে",4.33,IF($F25="প্রতি মাসে",1,IF($F25="প্রতি বছরে",1/12,0))))))</f>
        <v/>
      </c>
    </row>
    <row r="26" ht="15" customHeight="1" s="52">
      <c r="A26" s="82" t="n"/>
      <c r="B26" s="98">
        <f>IFERROR(INDEX(GroupLookup,MATCH($A26,CategoryList,0)),"")</f>
        <v/>
      </c>
      <c r="C26" s="83" t="n"/>
      <c r="D26" s="82" t="n"/>
      <c r="E26" s="82" t="n"/>
      <c r="F26" s="99" t="n"/>
      <c r="G26" s="81" t="n"/>
      <c r="H26" s="81" t="n"/>
      <c r="I26" s="99" t="n"/>
      <c r="J26" s="94">
        <f>IF($A26="","",IF($I26&lt;&gt;"চালু",0,$C26*IF($F26="প্রতিদিন",30,IF($F26="প্রতি সপ্তাহে",4.33,IF($F26="প্রতি মাসে",1,IF($F26="প্রতি বছরে",1/12,0))))))</f>
        <v/>
      </c>
    </row>
    <row r="27" ht="15" customHeight="1" s="52">
      <c r="A27" s="82" t="n"/>
      <c r="B27" s="98">
        <f>IFERROR(INDEX(GroupLookup,MATCH($A27,CategoryList,0)),"")</f>
        <v/>
      </c>
      <c r="C27" s="83" t="n"/>
      <c r="D27" s="82" t="n"/>
      <c r="E27" s="82" t="n"/>
      <c r="F27" s="99" t="n"/>
      <c r="G27" s="81" t="n"/>
      <c r="H27" s="81" t="n"/>
      <c r="I27" s="99" t="n"/>
      <c r="J27" s="94">
        <f>IF($A27="","",IF($I27&lt;&gt;"চালু",0,$C27*IF($F27="প্রতিদিন",30,IF($F27="প্রতি সপ্তাহে",4.33,IF($F27="প্রতি মাসে",1,IF($F27="প্রতি বছরে",1/12,0))))))</f>
        <v/>
      </c>
    </row>
    <row r="28" ht="15" customHeight="1" s="52">
      <c r="A28" s="82" t="n"/>
      <c r="B28" s="98">
        <f>IFERROR(INDEX(GroupLookup,MATCH($A28,CategoryList,0)),"")</f>
        <v/>
      </c>
      <c r="C28" s="83" t="n"/>
      <c r="D28" s="82" t="n"/>
      <c r="E28" s="82" t="n"/>
      <c r="F28" s="99" t="n"/>
      <c r="G28" s="81" t="n"/>
      <c r="H28" s="81" t="n"/>
      <c r="I28" s="99" t="n"/>
      <c r="J28" s="94">
        <f>IF($A28="","",IF($I28&lt;&gt;"চালু",0,$C28*IF($F28="প্রতিদিন",30,IF($F28="প্রতি সপ্তাহে",4.33,IF($F28="প্রতি মাসে",1,IF($F28="প্রতি বছরে",1/12,0))))))</f>
        <v/>
      </c>
    </row>
    <row r="29" ht="15" customHeight="1" s="52">
      <c r="A29" s="82" t="n"/>
      <c r="B29" s="98">
        <f>IFERROR(INDEX(GroupLookup,MATCH($A29,CategoryList,0)),"")</f>
        <v/>
      </c>
      <c r="C29" s="83" t="n"/>
      <c r="D29" s="82" t="n"/>
      <c r="E29" s="82" t="n"/>
      <c r="F29" s="99" t="n"/>
      <c r="G29" s="81" t="n"/>
      <c r="H29" s="81" t="n"/>
      <c r="I29" s="99" t="n"/>
      <c r="J29" s="94">
        <f>IF($A29="","",IF($I29&lt;&gt;"চালু",0,$C29*IF($F29="প্রতিদিন",30,IF($F29="প্রতি সপ্তাহে",4.33,IF($F29="প্রতি মাসে",1,IF($F29="প্রতি বছরে",1/12,0))))))</f>
        <v/>
      </c>
    </row>
    <row r="30" ht="15" customHeight="1" s="52">
      <c r="A30" s="82" t="n"/>
      <c r="B30" s="98">
        <f>IFERROR(INDEX(GroupLookup,MATCH($A30,CategoryList,0)),"")</f>
        <v/>
      </c>
      <c r="C30" s="83" t="n"/>
      <c r="D30" s="82" t="n"/>
      <c r="E30" s="82" t="n"/>
      <c r="F30" s="99" t="n"/>
      <c r="G30" s="81" t="n"/>
      <c r="H30" s="81" t="n"/>
      <c r="I30" s="99" t="n"/>
      <c r="J30" s="94">
        <f>IF($A30="","",IF($I30&lt;&gt;"চালু",0,$C30*IF($F30="প্রতিদিন",30,IF($F30="প্রতি সপ্তাহে",4.33,IF($F30="প্রতি মাসে",1,IF($F30="প্রতি বছরে",1/12,0))))))</f>
        <v/>
      </c>
    </row>
    <row r="31" ht="15" customHeight="1" s="52">
      <c r="A31" s="82" t="n"/>
      <c r="B31" s="98">
        <f>IFERROR(INDEX(GroupLookup,MATCH($A31,CategoryList,0)),"")</f>
        <v/>
      </c>
      <c r="C31" s="83" t="n"/>
      <c r="D31" s="82" t="n"/>
      <c r="E31" s="82" t="n"/>
      <c r="F31" s="99" t="n"/>
      <c r="G31" s="81" t="n"/>
      <c r="H31" s="81" t="n"/>
      <c r="I31" s="99" t="n"/>
      <c r="J31" s="94">
        <f>IF($A31="","",IF($I31&lt;&gt;"চালু",0,$C31*IF($F31="প্রতিদিন",30,IF($F31="প্রতি সপ্তাহে",4.33,IF($F31="প্রতি মাসে",1,IF($F31="প্রতি বছরে",1/12,0))))))</f>
        <v/>
      </c>
    </row>
    <row r="32" ht="15" customHeight="1" s="52">
      <c r="A32" s="82" t="n"/>
      <c r="B32" s="98">
        <f>IFERROR(INDEX(GroupLookup,MATCH($A32,CategoryList,0)),"")</f>
        <v/>
      </c>
      <c r="C32" s="83" t="n"/>
      <c r="D32" s="82" t="n"/>
      <c r="E32" s="82" t="n"/>
      <c r="F32" s="99" t="n"/>
      <c r="G32" s="81" t="n"/>
      <c r="H32" s="81" t="n"/>
      <c r="I32" s="99" t="n"/>
      <c r="J32" s="94">
        <f>IF($A32="","",IF($I32&lt;&gt;"চালু",0,$C32*IF($F32="প্রতিদিন",30,IF($F32="প্রতি সপ্তাহে",4.33,IF($F32="প্রতি মাসে",1,IF($F32="প্রতি বছরে",1/12,0))))))</f>
        <v/>
      </c>
    </row>
    <row r="33" ht="15" customHeight="1" s="52">
      <c r="A33" s="82" t="n"/>
      <c r="B33" s="98">
        <f>IFERROR(INDEX(GroupLookup,MATCH($A33,CategoryList,0)),"")</f>
        <v/>
      </c>
      <c r="C33" s="83" t="n"/>
      <c r="D33" s="82" t="n"/>
      <c r="E33" s="82" t="n"/>
      <c r="F33" s="99" t="n"/>
      <c r="G33" s="81" t="n"/>
      <c r="H33" s="81" t="n"/>
      <c r="I33" s="99" t="n"/>
      <c r="J33" s="94">
        <f>IF($A33="","",IF($I33&lt;&gt;"চালু",0,$C33*IF($F33="প্রতিদিন",30,IF($F33="প্রতি সপ্তাহে",4.33,IF($F33="প্রতি মাসে",1,IF($F33="প্রতি বছরে",1/12,0))))))</f>
        <v/>
      </c>
    </row>
    <row r="34" ht="15" customHeight="1" s="52">
      <c r="A34" s="82" t="n"/>
      <c r="B34" s="98">
        <f>IFERROR(INDEX(GroupLookup,MATCH($A34,CategoryList,0)),"")</f>
        <v/>
      </c>
      <c r="C34" s="83" t="n"/>
      <c r="D34" s="82" t="n"/>
      <c r="E34" s="82" t="n"/>
      <c r="F34" s="99" t="n"/>
      <c r="G34" s="81" t="n"/>
      <c r="H34" s="81" t="n"/>
      <c r="I34" s="99" t="n"/>
      <c r="J34" s="94">
        <f>IF($A34="","",IF($I34&lt;&gt;"চালু",0,$C34*IF($F34="প্রতিদিন",30,IF($F34="প্রতি সপ্তাহে",4.33,IF($F34="প্রতি মাসে",1,IF($F34="প্রতি বছরে",1/12,0))))))</f>
        <v/>
      </c>
    </row>
    <row r="35" ht="15" customHeight="1" s="52">
      <c r="A35" s="82" t="n"/>
      <c r="B35" s="98">
        <f>IFERROR(INDEX(GroupLookup,MATCH($A35,CategoryList,0)),"")</f>
        <v/>
      </c>
      <c r="C35" s="83" t="n"/>
      <c r="D35" s="82" t="n"/>
      <c r="E35" s="82" t="n"/>
      <c r="F35" s="99" t="n"/>
      <c r="G35" s="81" t="n"/>
      <c r="H35" s="81" t="n"/>
      <c r="I35" s="99" t="n"/>
      <c r="J35" s="94">
        <f>IF($A35="","",IF($I35&lt;&gt;"চালু",0,$C35*IF($F35="প্রতিদিন",30,IF($F35="প্রতি সপ্তাহে",4.33,IF($F35="প্রতি মাসে",1,IF($F35="প্রতি বছরে",1/12,0))))))</f>
        <v/>
      </c>
    </row>
    <row r="36" ht="15" customHeight="1" s="52">
      <c r="A36" s="82" t="n"/>
      <c r="B36" s="98">
        <f>IFERROR(INDEX(GroupLookup,MATCH($A36,CategoryList,0)),"")</f>
        <v/>
      </c>
      <c r="C36" s="83" t="n"/>
      <c r="D36" s="82" t="n"/>
      <c r="E36" s="82" t="n"/>
      <c r="F36" s="99" t="n"/>
      <c r="G36" s="81" t="n"/>
      <c r="H36" s="81" t="n"/>
      <c r="I36" s="99" t="n"/>
      <c r="J36" s="94">
        <f>IF($A36="","",IF($I36&lt;&gt;"চালু",0,$C36*IF($F36="প্রতিদিন",30,IF($F36="প্রতি সপ্তাহে",4.33,IF($F36="প্রতি মাসে",1,IF($F36="প্রতি বছরে",1/12,0))))))</f>
        <v/>
      </c>
    </row>
    <row r="37" ht="15" customHeight="1" s="52">
      <c r="A37" s="82" t="n"/>
      <c r="B37" s="98">
        <f>IFERROR(INDEX(GroupLookup,MATCH($A37,CategoryList,0)),"")</f>
        <v/>
      </c>
      <c r="C37" s="83" t="n"/>
      <c r="D37" s="82" t="n"/>
      <c r="E37" s="82" t="n"/>
      <c r="F37" s="99" t="n"/>
      <c r="G37" s="81" t="n"/>
      <c r="H37" s="81" t="n"/>
      <c r="I37" s="99" t="n"/>
      <c r="J37" s="94">
        <f>IF($A37="","",IF($I37&lt;&gt;"চালু",0,$C37*IF($F37="প্রতিদিন",30,IF($F37="প্রতি সপ্তাহে",4.33,IF($F37="প্রতি মাসে",1,IF($F37="প্রতি বছরে",1/12,0))))))</f>
        <v/>
      </c>
    </row>
    <row r="38" ht="15" customHeight="1" s="52">
      <c r="A38" s="82" t="n"/>
      <c r="B38" s="98">
        <f>IFERROR(INDEX(GroupLookup,MATCH($A38,CategoryList,0)),"")</f>
        <v/>
      </c>
      <c r="C38" s="83" t="n"/>
      <c r="D38" s="82" t="n"/>
      <c r="E38" s="82" t="n"/>
      <c r="F38" s="99" t="n"/>
      <c r="G38" s="81" t="n"/>
      <c r="H38" s="81" t="n"/>
      <c r="I38" s="99" t="n"/>
      <c r="J38" s="94">
        <f>IF($A38="","",IF($I38&lt;&gt;"চালু",0,$C38*IF($F38="প্রতিদিন",30,IF($F38="প্রতি সপ্তাহে",4.33,IF($F38="প্রতি মাসে",1,IF($F38="প্রতি বছরে",1/12,0))))))</f>
        <v/>
      </c>
    </row>
    <row r="39" ht="15" customHeight="1" s="52">
      <c r="A39" s="82" t="n"/>
      <c r="B39" s="98">
        <f>IFERROR(INDEX(GroupLookup,MATCH($A39,CategoryList,0)),"")</f>
        <v/>
      </c>
      <c r="C39" s="83" t="n"/>
      <c r="D39" s="82" t="n"/>
      <c r="E39" s="82" t="n"/>
      <c r="F39" s="99" t="n"/>
      <c r="G39" s="81" t="n"/>
      <c r="H39" s="81" t="n"/>
      <c r="I39" s="99" t="n"/>
      <c r="J39" s="94">
        <f>IF($A39="","",IF($I39&lt;&gt;"চালু",0,$C39*IF($F39="প্রতিদিন",30,IF($F39="প্রতি সপ্তাহে",4.33,IF($F39="প্রতি মাসে",1,IF($F39="প্রতি বছরে",1/12,0))))))</f>
        <v/>
      </c>
    </row>
    <row r="40" ht="15" customHeight="1" s="52">
      <c r="A40" s="82" t="n"/>
      <c r="B40" s="98">
        <f>IFERROR(INDEX(GroupLookup,MATCH($A40,CategoryList,0)),"")</f>
        <v/>
      </c>
      <c r="C40" s="83" t="n"/>
      <c r="D40" s="82" t="n"/>
      <c r="E40" s="82" t="n"/>
      <c r="F40" s="99" t="n"/>
      <c r="G40" s="81" t="n"/>
      <c r="H40" s="81" t="n"/>
      <c r="I40" s="99" t="n"/>
      <c r="J40" s="94">
        <f>IF($A40="","",IF($I40&lt;&gt;"চালু",0,$C40*IF($F40="প্রতিদিন",30,IF($F40="প্রতি সপ্তাহে",4.33,IF($F40="প্রতি মাসে",1,IF($F40="প্রতি বছরে",1/12,0))))))</f>
        <v/>
      </c>
    </row>
    <row r="41" ht="15" customHeight="1" s="52">
      <c r="A41" s="82" t="n"/>
      <c r="B41" s="98">
        <f>IFERROR(INDEX(GroupLookup,MATCH($A41,CategoryList,0)),"")</f>
        <v/>
      </c>
      <c r="C41" s="83" t="n"/>
      <c r="D41" s="82" t="n"/>
      <c r="E41" s="82" t="n"/>
      <c r="F41" s="99" t="n"/>
      <c r="G41" s="81" t="n"/>
      <c r="H41" s="81" t="n"/>
      <c r="I41" s="99" t="n"/>
      <c r="J41" s="94">
        <f>IF($A41="","",IF($I41&lt;&gt;"চালু",0,$C41*IF($F41="প্রতিদিন",30,IF($F41="প্রতি সপ্তাহে",4.33,IF($F41="প্রতি মাসে",1,IF($F41="প্রতি বছরে",1/12,0))))))</f>
        <v/>
      </c>
    </row>
    <row r="42" ht="15" customHeight="1" s="52">
      <c r="A42" s="82" t="n"/>
      <c r="B42" s="98">
        <f>IFERROR(INDEX(GroupLookup,MATCH($A42,CategoryList,0)),"")</f>
        <v/>
      </c>
      <c r="C42" s="83" t="n"/>
      <c r="D42" s="82" t="n"/>
      <c r="E42" s="82" t="n"/>
      <c r="F42" s="99" t="n"/>
      <c r="G42" s="81" t="n"/>
      <c r="H42" s="81" t="n"/>
      <c r="I42" s="99" t="n"/>
      <c r="J42" s="94">
        <f>IF($A42="","",IF($I42&lt;&gt;"চালু",0,$C42*IF($F42="প্রতিদিন",30,IF($F42="প্রতি সপ্তাহে",4.33,IF($F42="প্রতি মাসে",1,IF($F42="প্রতি বছরে",1/12,0))))))</f>
        <v/>
      </c>
    </row>
    <row r="43" ht="15" customHeight="1" s="52">
      <c r="A43" s="82" t="n"/>
      <c r="B43" s="98">
        <f>IFERROR(INDEX(GroupLookup,MATCH($A43,CategoryList,0)),"")</f>
        <v/>
      </c>
      <c r="C43" s="83" t="n"/>
      <c r="D43" s="82" t="n"/>
      <c r="E43" s="82" t="n"/>
      <c r="F43" s="99" t="n"/>
      <c r="G43" s="81" t="n"/>
      <c r="H43" s="81" t="n"/>
      <c r="I43" s="99" t="n"/>
      <c r="J43" s="94">
        <f>IF($A43="","",IF($I43&lt;&gt;"চালু",0,$C43*IF($F43="প্রতিদিন",30,IF($F43="প্রতি সপ্তাহে",4.33,IF($F43="প্রতি মাসে",1,IF($F43="প্রতি বছরে",1/12,0))))))</f>
        <v/>
      </c>
    </row>
    <row r="44" ht="15" customHeight="1" s="52">
      <c r="A44" s="82" t="n"/>
      <c r="B44" s="98">
        <f>IFERROR(INDEX(GroupLookup,MATCH($A44,CategoryList,0)),"")</f>
        <v/>
      </c>
      <c r="C44" s="83" t="n"/>
      <c r="D44" s="82" t="n"/>
      <c r="E44" s="82" t="n"/>
      <c r="F44" s="99" t="n"/>
      <c r="G44" s="81" t="n"/>
      <c r="H44" s="81" t="n"/>
      <c r="I44" s="99" t="n"/>
      <c r="J44" s="94">
        <f>IF($A44="","",IF($I44&lt;&gt;"চালু",0,$C44*IF($F44="প্রতিদিন",30,IF($F44="প্রতি সপ্তাহে",4.33,IF($F44="প্রতি মাসে",1,IF($F44="প্রতি বছরে",1/12,0))))))</f>
        <v/>
      </c>
    </row>
    <row r="45" ht="15" customHeight="1" s="52">
      <c r="A45" s="82" t="n"/>
      <c r="B45" s="98">
        <f>IFERROR(INDEX(GroupLookup,MATCH($A45,CategoryList,0)),"")</f>
        <v/>
      </c>
      <c r="C45" s="83" t="n"/>
      <c r="D45" s="82" t="n"/>
      <c r="E45" s="82" t="n"/>
      <c r="F45" s="99" t="n"/>
      <c r="G45" s="81" t="n"/>
      <c r="H45" s="81" t="n"/>
      <c r="I45" s="99" t="n"/>
      <c r="J45" s="94">
        <f>IF($A45="","",IF($I45&lt;&gt;"চালু",0,$C45*IF($F45="প্রতিদিন",30,IF($F45="প্রতি সপ্তাহে",4.33,IF($F45="প্রতি মাসে",1,IF($F45="প্রতি বছরে",1/12,0))))))</f>
        <v/>
      </c>
    </row>
    <row r="46" ht="15" customHeight="1" s="52">
      <c r="A46" s="82" t="n"/>
      <c r="B46" s="98">
        <f>IFERROR(INDEX(GroupLookup,MATCH($A46,CategoryList,0)),"")</f>
        <v/>
      </c>
      <c r="C46" s="83" t="n"/>
      <c r="D46" s="82" t="n"/>
      <c r="E46" s="82" t="n"/>
      <c r="F46" s="99" t="n"/>
      <c r="G46" s="81" t="n"/>
      <c r="H46" s="81" t="n"/>
      <c r="I46" s="99" t="n"/>
      <c r="J46" s="94">
        <f>IF($A46="","",IF($I46&lt;&gt;"চালু",0,$C46*IF($F46="প্রতিদিন",30,IF($F46="প্রতি সপ্তাহে",4.33,IF($F46="প্রতি মাসে",1,IF($F46="প্রতি বছরে",1/12,0))))))</f>
        <v/>
      </c>
    </row>
    <row r="47" ht="15" customHeight="1" s="52">
      <c r="A47" s="82" t="n"/>
      <c r="B47" s="98">
        <f>IFERROR(INDEX(GroupLookup,MATCH($A47,CategoryList,0)),"")</f>
        <v/>
      </c>
      <c r="C47" s="83" t="n"/>
      <c r="D47" s="82" t="n"/>
      <c r="E47" s="82" t="n"/>
      <c r="F47" s="99" t="n"/>
      <c r="G47" s="81" t="n"/>
      <c r="H47" s="81" t="n"/>
      <c r="I47" s="99" t="n"/>
      <c r="J47" s="94">
        <f>IF($A47="","",IF($I47&lt;&gt;"চালু",0,$C47*IF($F47="প্রতিদিন",30,IF($F47="প্রতি সপ্তাহে",4.33,IF($F47="প্রতি মাসে",1,IF($F47="প্রতি বছরে",1/12,0))))))</f>
        <v/>
      </c>
    </row>
    <row r="48" ht="15" customHeight="1" s="52">
      <c r="A48" s="82" t="n"/>
      <c r="B48" s="98">
        <f>IFERROR(INDEX(GroupLookup,MATCH($A48,CategoryList,0)),"")</f>
        <v/>
      </c>
      <c r="C48" s="83" t="n"/>
      <c r="D48" s="82" t="n"/>
      <c r="E48" s="82" t="n"/>
      <c r="F48" s="99" t="n"/>
      <c r="G48" s="81" t="n"/>
      <c r="H48" s="81" t="n"/>
      <c r="I48" s="99" t="n"/>
      <c r="J48" s="94">
        <f>IF($A48="","",IF($I48&lt;&gt;"চালু",0,$C48*IF($F48="প্রতিদিন",30,IF($F48="প্রতি সপ্তাহে",4.33,IF($F48="প্রতি মাসে",1,IF($F48="প্রতি বছরে",1/12,0))))))</f>
        <v/>
      </c>
    </row>
    <row r="49" ht="15" customHeight="1" s="52">
      <c r="A49" s="82" t="n"/>
      <c r="B49" s="98">
        <f>IFERROR(INDEX(GroupLookup,MATCH($A49,CategoryList,0)),"")</f>
        <v/>
      </c>
      <c r="C49" s="83" t="n"/>
      <c r="D49" s="82" t="n"/>
      <c r="E49" s="82" t="n"/>
      <c r="F49" s="99" t="n"/>
      <c r="G49" s="81" t="n"/>
      <c r="H49" s="81" t="n"/>
      <c r="I49" s="99" t="n"/>
      <c r="J49" s="94">
        <f>IF($A49="","",IF($I49&lt;&gt;"চালু",0,$C49*IF($F49="প্রতিদিন",30,IF($F49="প্রতি সপ্তাহে",4.33,IF($F49="প্রতি মাসে",1,IF($F49="প্রতি বছরে",1/12,0))))))</f>
        <v/>
      </c>
    </row>
    <row r="50" ht="15" customHeight="1" s="52">
      <c r="A50" s="82" t="n"/>
      <c r="B50" s="98">
        <f>IFERROR(INDEX(GroupLookup,MATCH($A50,CategoryList,0)),"")</f>
        <v/>
      </c>
      <c r="C50" s="83" t="n"/>
      <c r="D50" s="82" t="n"/>
      <c r="E50" s="82" t="n"/>
      <c r="F50" s="99" t="n"/>
      <c r="G50" s="81" t="n"/>
      <c r="H50" s="81" t="n"/>
      <c r="I50" s="99" t="n"/>
      <c r="J50" s="94">
        <f>IF($A50="","",IF($I50&lt;&gt;"চালু",0,$C50*IF($F50="প্রতিদিন",30,IF($F50="প্রতি সপ্তাহে",4.33,IF($F50="প্রতি মাসে",1,IF($F50="প্রতি বছরে",1/12,0))))))</f>
        <v/>
      </c>
    </row>
    <row r="51" ht="15" customHeight="1" s="52">
      <c r="A51" s="82" t="n"/>
      <c r="B51" s="98">
        <f>IFERROR(INDEX(GroupLookup,MATCH($A51,CategoryList,0)),"")</f>
        <v/>
      </c>
      <c r="C51" s="83" t="n"/>
      <c r="D51" s="82" t="n"/>
      <c r="E51" s="82" t="n"/>
      <c r="F51" s="99" t="n"/>
      <c r="G51" s="81" t="n"/>
      <c r="H51" s="81" t="n"/>
      <c r="I51" s="99" t="n"/>
      <c r="J51" s="94">
        <f>IF($A51="","",IF($I51&lt;&gt;"চালু",0,$C51*IF($F51="প্রতিদিন",30,IF($F51="প্রতি সপ্তাহে",4.33,IF($F51="প্রতি মাসে",1,IF($F51="প্রতি বছরে",1/12,0))))))</f>
        <v/>
      </c>
    </row>
    <row r="52" ht="15" customHeight="1" s="52">
      <c r="A52" s="82" t="n"/>
      <c r="B52" s="98">
        <f>IFERROR(INDEX(GroupLookup,MATCH($A52,CategoryList,0)),"")</f>
        <v/>
      </c>
      <c r="C52" s="83" t="n"/>
      <c r="D52" s="82" t="n"/>
      <c r="E52" s="82" t="n"/>
      <c r="F52" s="99" t="n"/>
      <c r="G52" s="81" t="n"/>
      <c r="H52" s="81" t="n"/>
      <c r="I52" s="99" t="n"/>
      <c r="J52" s="94">
        <f>IF($A52="","",IF($I52&lt;&gt;"চালু",0,$C52*IF($F52="প্রতিদিন",30,IF($F52="প্রতি সপ্তাহে",4.33,IF($F52="প্রতি মাসে",1,IF($F52="প্রতি বছরে",1/12,0))))))</f>
        <v/>
      </c>
    </row>
    <row r="53" ht="15" customHeight="1" s="52">
      <c r="A53" s="82" t="n"/>
      <c r="B53" s="98">
        <f>IFERROR(INDEX(GroupLookup,MATCH($A53,CategoryList,0)),"")</f>
        <v/>
      </c>
      <c r="C53" s="83" t="n"/>
      <c r="D53" s="82" t="n"/>
      <c r="E53" s="82" t="n"/>
      <c r="F53" s="99" t="n"/>
      <c r="G53" s="81" t="n"/>
      <c r="H53" s="81" t="n"/>
      <c r="I53" s="99" t="n"/>
      <c r="J53" s="94">
        <f>IF($A53="","",IF($I53&lt;&gt;"চালু",0,$C53*IF($F53="প্রতিদিন",30,IF($F53="প্রতি সপ্তাহে",4.33,IF($F53="প্রতি মাসে",1,IF($F53="প্রতি বছরে",1/12,0))))))</f>
        <v/>
      </c>
    </row>
    <row r="54" ht="15" customHeight="1" s="52">
      <c r="A54" s="82" t="n"/>
      <c r="B54" s="98">
        <f>IFERROR(INDEX(GroupLookup,MATCH($A54,CategoryList,0)),"")</f>
        <v/>
      </c>
      <c r="C54" s="83" t="n"/>
      <c r="D54" s="82" t="n"/>
      <c r="E54" s="82" t="n"/>
      <c r="F54" s="99" t="n"/>
      <c r="G54" s="81" t="n"/>
      <c r="H54" s="81" t="n"/>
      <c r="I54" s="99" t="n"/>
      <c r="J54" s="94">
        <f>IF($A54="","",IF($I54&lt;&gt;"চালু",0,$C54*IF($F54="প্রতিদিন",30,IF($F54="প্রতি সপ্তাহে",4.33,IF($F54="প্রতি মাসে",1,IF($F54="প্রতি বছরে",1/12,0))))))</f>
        <v/>
      </c>
    </row>
    <row r="55" ht="15" customHeight="1" s="52">
      <c r="A55" s="82" t="n"/>
      <c r="B55" s="98">
        <f>IFERROR(INDEX(GroupLookup,MATCH($A55,CategoryList,0)),"")</f>
        <v/>
      </c>
      <c r="C55" s="83" t="n"/>
      <c r="D55" s="82" t="n"/>
      <c r="E55" s="82" t="n"/>
      <c r="F55" s="99" t="n"/>
      <c r="G55" s="81" t="n"/>
      <c r="H55" s="81" t="n"/>
      <c r="I55" s="99" t="n"/>
      <c r="J55" s="94">
        <f>IF($A55="","",IF($I55&lt;&gt;"চালু",0,$C55*IF($F55="প্রতিদিন",30,IF($F55="প্রতি সপ্তাহে",4.33,IF($F55="প্রতি মাসে",1,IF($F55="প্রতি বছরে",1/12,0))))))</f>
        <v/>
      </c>
    </row>
    <row r="56" ht="15" customHeight="1" s="52">
      <c r="A56" s="82" t="n"/>
      <c r="B56" s="98">
        <f>IFERROR(INDEX(GroupLookup,MATCH($A56,CategoryList,0)),"")</f>
        <v/>
      </c>
      <c r="C56" s="83" t="n"/>
      <c r="D56" s="82" t="n"/>
      <c r="E56" s="82" t="n"/>
      <c r="F56" s="99" t="n"/>
      <c r="G56" s="81" t="n"/>
      <c r="H56" s="81" t="n"/>
      <c r="I56" s="99" t="n"/>
      <c r="J56" s="94">
        <f>IF($A56="","",IF($I56&lt;&gt;"চালু",0,$C56*IF($F56="প্রতিদিন",30,IF($F56="প্রতি সপ্তাহে",4.33,IF($F56="প্রতি মাসে",1,IF($F56="প্রতি বছরে",1/12,0))))))</f>
        <v/>
      </c>
    </row>
    <row r="57" ht="15" customHeight="1" s="52">
      <c r="A57" s="82" t="n"/>
      <c r="B57" s="98">
        <f>IFERROR(INDEX(GroupLookup,MATCH($A57,CategoryList,0)),"")</f>
        <v/>
      </c>
      <c r="C57" s="83" t="n"/>
      <c r="D57" s="82" t="n"/>
      <c r="E57" s="82" t="n"/>
      <c r="F57" s="99" t="n"/>
      <c r="G57" s="81" t="n"/>
      <c r="H57" s="81" t="n"/>
      <c r="I57" s="99" t="n"/>
      <c r="J57" s="94">
        <f>IF($A57="","",IF($I57&lt;&gt;"চালু",0,$C57*IF($F57="প্রতিদিন",30,IF($F57="প্রতি সপ্তাহে",4.33,IF($F57="প্রতি মাসে",1,IF($F57="প্রতি বছরে",1/12,0))))))</f>
        <v/>
      </c>
    </row>
    <row r="58" ht="15" customHeight="1" s="52">
      <c r="A58" s="82" t="n"/>
      <c r="B58" s="98">
        <f>IFERROR(INDEX(GroupLookup,MATCH($A58,CategoryList,0)),"")</f>
        <v/>
      </c>
      <c r="C58" s="83" t="n"/>
      <c r="D58" s="82" t="n"/>
      <c r="E58" s="82" t="n"/>
      <c r="F58" s="99" t="n"/>
      <c r="G58" s="81" t="n"/>
      <c r="H58" s="81" t="n"/>
      <c r="I58" s="99" t="n"/>
      <c r="J58" s="94">
        <f>IF($A58="","",IF($I58&lt;&gt;"চালু",0,$C58*IF($F58="প্রতিদিন",30,IF($F58="প্রতি সপ্তাহে",4.33,IF($F58="প্রতি মাসে",1,IF($F58="প্রতি বছরে",1/12,0))))))</f>
        <v/>
      </c>
    </row>
    <row r="59" ht="15" customHeight="1" s="52">
      <c r="A59" s="82" t="n"/>
      <c r="B59" s="98">
        <f>IFERROR(INDEX(GroupLookup,MATCH($A59,CategoryList,0)),"")</f>
        <v/>
      </c>
      <c r="C59" s="83" t="n"/>
      <c r="D59" s="82" t="n"/>
      <c r="E59" s="82" t="n"/>
      <c r="F59" s="99" t="n"/>
      <c r="G59" s="81" t="n"/>
      <c r="H59" s="81" t="n"/>
      <c r="I59" s="99" t="n"/>
      <c r="J59" s="94">
        <f>IF($A59="","",IF($I59&lt;&gt;"চালু",0,$C59*IF($F59="প্রতিদিন",30,IF($F59="প্রতি সপ্তাহে",4.33,IF($F59="প্রতি মাসে",1,IF($F59="প্রতি বছরে",1/12,0))))))</f>
        <v/>
      </c>
    </row>
    <row r="60" ht="15" customHeight="1" s="52">
      <c r="A60" s="82" t="n"/>
      <c r="B60" s="98">
        <f>IFERROR(INDEX(GroupLookup,MATCH($A60,CategoryList,0)),"")</f>
        <v/>
      </c>
      <c r="C60" s="83" t="n"/>
      <c r="D60" s="82" t="n"/>
      <c r="E60" s="82" t="n"/>
      <c r="F60" s="99" t="n"/>
      <c r="G60" s="81" t="n"/>
      <c r="H60" s="81" t="n"/>
      <c r="I60" s="99" t="n"/>
      <c r="J60" s="94">
        <f>IF($A60="","",IF($I60&lt;&gt;"চালু",0,$C60*IF($F60="প্রতিদিন",30,IF($F60="প্রতি সপ্তাহে",4.33,IF($F60="প্রতি মাসে",1,IF($F60="প্রতি বছরে",1/12,0))))))</f>
        <v/>
      </c>
    </row>
    <row r="61" ht="15" customHeight="1" s="52">
      <c r="A61" s="82" t="n"/>
      <c r="B61" s="98">
        <f>IFERROR(INDEX(GroupLookup,MATCH($A61,CategoryList,0)),"")</f>
        <v/>
      </c>
      <c r="C61" s="83" t="n"/>
      <c r="D61" s="82" t="n"/>
      <c r="E61" s="82" t="n"/>
      <c r="F61" s="99" t="n"/>
      <c r="G61" s="81" t="n"/>
      <c r="H61" s="81" t="n"/>
      <c r="I61" s="99" t="n"/>
      <c r="J61" s="94">
        <f>IF($A61="","",IF($I61&lt;&gt;"চালু",0,$C61*IF($F61="প্রতিদিন",30,IF($F61="প্রতি সপ্তাহে",4.33,IF($F61="প্রতি মাসে",1,IF($F61="প্রতি বছরে",1/12,0))))))</f>
        <v/>
      </c>
    </row>
    <row r="62" ht="15" customHeight="1" s="52">
      <c r="A62" s="82" t="n"/>
      <c r="B62" s="98">
        <f>IFERROR(INDEX(GroupLookup,MATCH($A62,CategoryList,0)),"")</f>
        <v/>
      </c>
      <c r="C62" s="83" t="n"/>
      <c r="D62" s="82" t="n"/>
      <c r="E62" s="82" t="n"/>
      <c r="F62" s="99" t="n"/>
      <c r="G62" s="81" t="n"/>
      <c r="H62" s="81" t="n"/>
      <c r="I62" s="99" t="n"/>
      <c r="J62" s="94">
        <f>IF($A62="","",IF($I62&lt;&gt;"চালু",0,$C62*IF($F62="প্রতিদিন",30,IF($F62="প্রতি সপ্তাহে",4.33,IF($F62="প্রতি মাসে",1,IF($F62="প্রতি বছরে",1/12,0))))))</f>
        <v/>
      </c>
    </row>
    <row r="63" ht="15" customHeight="1" s="52">
      <c r="A63" s="82" t="n"/>
      <c r="B63" s="98">
        <f>IFERROR(INDEX(GroupLookup,MATCH($A63,CategoryList,0)),"")</f>
        <v/>
      </c>
      <c r="C63" s="83" t="n"/>
      <c r="D63" s="82" t="n"/>
      <c r="E63" s="82" t="n"/>
      <c r="F63" s="99" t="n"/>
      <c r="G63" s="81" t="n"/>
      <c r="H63" s="81" t="n"/>
      <c r="I63" s="99" t="n"/>
      <c r="J63" s="94">
        <f>IF($A63="","",IF($I63&lt;&gt;"চালু",0,$C63*IF($F63="প্রতিদিন",30,IF($F63="প্রতি সপ্তাহে",4.33,IF($F63="প্রতি মাসে",1,IF($F63="প্রতি বছরে",1/12,0))))))</f>
        <v/>
      </c>
    </row>
    <row r="64" ht="15" customHeight="1" s="52">
      <c r="A64" s="82" t="n"/>
      <c r="B64" s="98">
        <f>IFERROR(INDEX(GroupLookup,MATCH($A64,CategoryList,0)),"")</f>
        <v/>
      </c>
      <c r="C64" s="83" t="n"/>
      <c r="D64" s="82" t="n"/>
      <c r="E64" s="82" t="n"/>
      <c r="F64" s="99" t="n"/>
      <c r="G64" s="81" t="n"/>
      <c r="H64" s="81" t="n"/>
      <c r="I64" s="99" t="n"/>
      <c r="J64" s="94">
        <f>IF($A64="","",IF($I64&lt;&gt;"চালু",0,$C64*IF($F64="প্রতিদিন",30,IF($F64="প্রতি সপ্তাহে",4.33,IF($F64="প্রতি মাসে",1,IF($F64="প্রতি বছরে",1/12,0))))))</f>
        <v/>
      </c>
    </row>
    <row r="65" ht="15" customHeight="1" s="52">
      <c r="A65" s="82" t="n"/>
      <c r="B65" s="98">
        <f>IFERROR(INDEX(GroupLookup,MATCH($A65,CategoryList,0)),"")</f>
        <v/>
      </c>
      <c r="C65" s="83" t="n"/>
      <c r="D65" s="82" t="n"/>
      <c r="E65" s="82" t="n"/>
      <c r="F65" s="99" t="n"/>
      <c r="G65" s="81" t="n"/>
      <c r="H65" s="81" t="n"/>
      <c r="I65" s="99" t="n"/>
      <c r="J65" s="94">
        <f>IF($A65="","",IF($I65&lt;&gt;"চালু",0,$C65*IF($F65="প্রতিদিন",30,IF($F65="প্রতি সপ্তাহে",4.33,IF($F65="প্রতি মাসে",1,IF($F65="প্রতি বছরে",1/12,0))))))</f>
        <v/>
      </c>
    </row>
    <row r="66" ht="15" customHeight="1" s="52">
      <c r="A66" s="82" t="n"/>
      <c r="B66" s="98">
        <f>IFERROR(INDEX(GroupLookup,MATCH($A66,CategoryList,0)),"")</f>
        <v/>
      </c>
      <c r="C66" s="83" t="n"/>
      <c r="D66" s="82" t="n"/>
      <c r="E66" s="82" t="n"/>
      <c r="F66" s="99" t="n"/>
      <c r="G66" s="81" t="n"/>
      <c r="H66" s="81" t="n"/>
      <c r="I66" s="99" t="n"/>
      <c r="J66" s="94">
        <f>IF($A66="","",IF($I66&lt;&gt;"চালু",0,$C66*IF($F66="প্রতিদিন",30,IF($F66="প্রতি সপ্তাহে",4.33,IF($F66="প্রতি মাসে",1,IF($F66="প্রতি বছরে",1/12,0))))))</f>
        <v/>
      </c>
    </row>
    <row r="67" ht="15" customHeight="1" s="52">
      <c r="A67" s="82" t="n"/>
      <c r="B67" s="98">
        <f>IFERROR(INDEX(GroupLookup,MATCH($A67,CategoryList,0)),"")</f>
        <v/>
      </c>
      <c r="C67" s="83" t="n"/>
      <c r="D67" s="82" t="n"/>
      <c r="E67" s="82" t="n"/>
      <c r="F67" s="99" t="n"/>
      <c r="G67" s="81" t="n"/>
      <c r="H67" s="81" t="n"/>
      <c r="I67" s="99" t="n"/>
      <c r="J67" s="94">
        <f>IF($A67="","",IF($I67&lt;&gt;"চালু",0,$C67*IF($F67="প্রতিদিন",30,IF($F67="প্রতি সপ্তাহে",4.33,IF($F67="প্রতি মাসে",1,IF($F67="প্রতি বছরে",1/12,0))))))</f>
        <v/>
      </c>
    </row>
    <row r="68" ht="15" customHeight="1" s="52">
      <c r="A68" s="82" t="n"/>
      <c r="B68" s="98">
        <f>IFERROR(INDEX(GroupLookup,MATCH($A68,CategoryList,0)),"")</f>
        <v/>
      </c>
      <c r="C68" s="83" t="n"/>
      <c r="D68" s="82" t="n"/>
      <c r="E68" s="82" t="n"/>
      <c r="F68" s="99" t="n"/>
      <c r="G68" s="81" t="n"/>
      <c r="H68" s="81" t="n"/>
      <c r="I68" s="99" t="n"/>
      <c r="J68" s="94">
        <f>IF($A68="","",IF($I68&lt;&gt;"চালু",0,$C68*IF($F68="প্রতিদিন",30,IF($F68="প্রতি সপ্তাহে",4.33,IF($F68="প্রতি মাসে",1,IF($F68="প্রতি বছরে",1/12,0))))))</f>
        <v/>
      </c>
    </row>
    <row r="69" ht="15" customHeight="1" s="52">
      <c r="A69" s="82" t="n"/>
      <c r="B69" s="98">
        <f>IFERROR(INDEX(GroupLookup,MATCH($A69,CategoryList,0)),"")</f>
        <v/>
      </c>
      <c r="C69" s="83" t="n"/>
      <c r="D69" s="82" t="n"/>
      <c r="E69" s="82" t="n"/>
      <c r="F69" s="99" t="n"/>
      <c r="G69" s="81" t="n"/>
      <c r="H69" s="81" t="n"/>
      <c r="I69" s="99" t="n"/>
      <c r="J69" s="94">
        <f>IF($A69="","",IF($I69&lt;&gt;"চালু",0,$C69*IF($F69="প্রতিদিন",30,IF($F69="প্রতি সপ্তাহে",4.33,IF($F69="প্রতি মাসে",1,IF($F69="প্রতি বছরে",1/12,0))))))</f>
        <v/>
      </c>
    </row>
    <row r="70" ht="15" customHeight="1" s="52">
      <c r="A70" s="82" t="n"/>
      <c r="B70" s="98">
        <f>IFERROR(INDEX(GroupLookup,MATCH($A70,CategoryList,0)),"")</f>
        <v/>
      </c>
      <c r="C70" s="83" t="n"/>
      <c r="D70" s="82" t="n"/>
      <c r="E70" s="82" t="n"/>
      <c r="F70" s="99" t="n"/>
      <c r="G70" s="81" t="n"/>
      <c r="H70" s="81" t="n"/>
      <c r="I70" s="99" t="n"/>
      <c r="J70" s="94">
        <f>IF($A70="","",IF($I70&lt;&gt;"চালু",0,$C70*IF($F70="প্রতিদিন",30,IF($F70="প্রতি সপ্তাহে",4.33,IF($F70="প্রতি মাসে",1,IF($F70="প্রতি বছরে",1/12,0))))))</f>
        <v/>
      </c>
    </row>
    <row r="71" ht="15" customHeight="1" s="52">
      <c r="A71" s="82" t="n"/>
      <c r="B71" s="98">
        <f>IFERROR(INDEX(GroupLookup,MATCH($A71,CategoryList,0)),"")</f>
        <v/>
      </c>
      <c r="C71" s="83" t="n"/>
      <c r="D71" s="82" t="n"/>
      <c r="E71" s="82" t="n"/>
      <c r="F71" s="99" t="n"/>
      <c r="G71" s="81" t="n"/>
      <c r="H71" s="81" t="n"/>
      <c r="I71" s="99" t="n"/>
      <c r="J71" s="94">
        <f>IF($A71="","",IF($I71&lt;&gt;"চালু",0,$C71*IF($F71="প্রতিদিন",30,IF($F71="প্রতি সপ্তাহে",4.33,IF($F71="প্রতি মাসে",1,IF($F71="প্রতি বছরে",1/12,0))))))</f>
        <v/>
      </c>
    </row>
    <row r="72" ht="15" customHeight="1" s="52">
      <c r="A72" s="82" t="n"/>
      <c r="B72" s="98">
        <f>IFERROR(INDEX(GroupLookup,MATCH($A72,CategoryList,0)),"")</f>
        <v/>
      </c>
      <c r="C72" s="83" t="n"/>
      <c r="D72" s="82" t="n"/>
      <c r="E72" s="82" t="n"/>
      <c r="F72" s="99" t="n"/>
      <c r="G72" s="81" t="n"/>
      <c r="H72" s="81" t="n"/>
      <c r="I72" s="99" t="n"/>
      <c r="J72" s="94">
        <f>IF($A72="","",IF($I72&lt;&gt;"চালু",0,$C72*IF($F72="প্রতিদিন",30,IF($F72="প্রতি সপ্তাহে",4.33,IF($F72="প্রতি মাসে",1,IF($F72="প্রতি বছরে",1/12,0))))))</f>
        <v/>
      </c>
    </row>
    <row r="73" ht="15" customHeight="1" s="52">
      <c r="A73" s="82" t="n"/>
      <c r="B73" s="98">
        <f>IFERROR(INDEX(GroupLookup,MATCH($A73,CategoryList,0)),"")</f>
        <v/>
      </c>
      <c r="C73" s="83" t="n"/>
      <c r="D73" s="82" t="n"/>
      <c r="E73" s="82" t="n"/>
      <c r="F73" s="99" t="n"/>
      <c r="G73" s="81" t="n"/>
      <c r="H73" s="81" t="n"/>
      <c r="I73" s="99" t="n"/>
      <c r="J73" s="94">
        <f>IF($A73="","",IF($I73&lt;&gt;"চালু",0,$C73*IF($F73="প্রতিদিন",30,IF($F73="প্রতি সপ্তাহে",4.33,IF($F73="প্রতি মাসে",1,IF($F73="প্রতি বছরে",1/12,0))))))</f>
        <v/>
      </c>
    </row>
    <row r="74" ht="15" customHeight="1" s="52">
      <c r="A74" s="82" t="n"/>
      <c r="B74" s="98">
        <f>IFERROR(INDEX(GroupLookup,MATCH($A74,CategoryList,0)),"")</f>
        <v/>
      </c>
      <c r="C74" s="83" t="n"/>
      <c r="D74" s="82" t="n"/>
      <c r="E74" s="82" t="n"/>
      <c r="F74" s="99" t="n"/>
      <c r="G74" s="81" t="n"/>
      <c r="H74" s="81" t="n"/>
      <c r="I74" s="99" t="n"/>
      <c r="J74" s="94">
        <f>IF($A74="","",IF($I74&lt;&gt;"চালু",0,$C74*IF($F74="প্রতিদিন",30,IF($F74="প্রতি সপ্তাহে",4.33,IF($F74="প্রতি মাসে",1,IF($F74="প্রতি বছরে",1/12,0))))))</f>
        <v/>
      </c>
    </row>
    <row r="75" ht="15" customHeight="1" s="52">
      <c r="A75" s="82" t="n"/>
      <c r="B75" s="98">
        <f>IFERROR(INDEX(GroupLookup,MATCH($A75,CategoryList,0)),"")</f>
        <v/>
      </c>
      <c r="C75" s="83" t="n"/>
      <c r="D75" s="82" t="n"/>
      <c r="E75" s="82" t="n"/>
      <c r="F75" s="99" t="n"/>
      <c r="G75" s="81" t="n"/>
      <c r="H75" s="81" t="n"/>
      <c r="I75" s="99" t="n"/>
      <c r="J75" s="94">
        <f>IF($A75="","",IF($I75&lt;&gt;"চালু",0,$C75*IF($F75="প্রতিদিন",30,IF($F75="প্রতি সপ্তাহে",4.33,IF($F75="প্রতি মাসে",1,IF($F75="প্রতি বছরে",1/12,0))))))</f>
        <v/>
      </c>
    </row>
    <row r="76" ht="15" customHeight="1" s="52">
      <c r="A76" s="82" t="n"/>
      <c r="B76" s="98">
        <f>IFERROR(INDEX(GroupLookup,MATCH($A76,CategoryList,0)),"")</f>
        <v/>
      </c>
      <c r="C76" s="83" t="n"/>
      <c r="D76" s="82" t="n"/>
      <c r="E76" s="82" t="n"/>
      <c r="F76" s="99" t="n"/>
      <c r="G76" s="81" t="n"/>
      <c r="H76" s="81" t="n"/>
      <c r="I76" s="99" t="n"/>
      <c r="J76" s="94">
        <f>IF($A76="","",IF($I76&lt;&gt;"চালু",0,$C76*IF($F76="প্রতিদিন",30,IF($F76="প্রতি সপ্তাহে",4.33,IF($F76="প্রতি মাসে",1,IF($F76="প্রতি বছরে",1/12,0))))))</f>
        <v/>
      </c>
    </row>
    <row r="77" ht="15" customHeight="1" s="52">
      <c r="A77" s="82" t="n"/>
      <c r="B77" s="98">
        <f>IFERROR(INDEX(GroupLookup,MATCH($A77,CategoryList,0)),"")</f>
        <v/>
      </c>
      <c r="C77" s="83" t="n"/>
      <c r="D77" s="82" t="n"/>
      <c r="E77" s="82" t="n"/>
      <c r="F77" s="99" t="n"/>
      <c r="G77" s="81" t="n"/>
      <c r="H77" s="81" t="n"/>
      <c r="I77" s="99" t="n"/>
      <c r="J77" s="94">
        <f>IF($A77="","",IF($I77&lt;&gt;"চালু",0,$C77*IF($F77="প্রতিদিন",30,IF($F77="প্রতি সপ্তাহে",4.33,IF($F77="প্রতি মাসে",1,IF($F77="প্রতি বছরে",1/12,0))))))</f>
        <v/>
      </c>
    </row>
    <row r="78" ht="15" customHeight="1" s="52">
      <c r="A78" s="82" t="n"/>
      <c r="B78" s="98">
        <f>IFERROR(INDEX(GroupLookup,MATCH($A78,CategoryList,0)),"")</f>
        <v/>
      </c>
      <c r="C78" s="83" t="n"/>
      <c r="D78" s="82" t="n"/>
      <c r="E78" s="82" t="n"/>
      <c r="F78" s="99" t="n"/>
      <c r="G78" s="81" t="n"/>
      <c r="H78" s="81" t="n"/>
      <c r="I78" s="99" t="n"/>
      <c r="J78" s="94">
        <f>IF($A78="","",IF($I78&lt;&gt;"চালু",0,$C78*IF($F78="প্রতিদিন",30,IF($F78="প্রতি সপ্তাহে",4.33,IF($F78="প্রতি মাসে",1,IF($F78="প্রতি বছরে",1/12,0))))))</f>
        <v/>
      </c>
    </row>
    <row r="79" ht="15" customHeight="1" s="52">
      <c r="A79" s="82" t="n"/>
      <c r="B79" s="98">
        <f>IFERROR(INDEX(GroupLookup,MATCH($A79,CategoryList,0)),"")</f>
        <v/>
      </c>
      <c r="C79" s="83" t="n"/>
      <c r="D79" s="82" t="n"/>
      <c r="E79" s="82" t="n"/>
      <c r="F79" s="99" t="n"/>
      <c r="G79" s="81" t="n"/>
      <c r="H79" s="81" t="n"/>
      <c r="I79" s="99" t="n"/>
      <c r="J79" s="94">
        <f>IF($A79="","",IF($I79&lt;&gt;"চালু",0,$C79*IF($F79="প্রতিদিন",30,IF($F79="প্রতি সপ্তাহে",4.33,IF($F79="প্রতি মাসে",1,IF($F79="প্রতি বছরে",1/12,0))))))</f>
        <v/>
      </c>
    </row>
    <row r="80" ht="15" customHeight="1" s="52">
      <c r="A80" s="82" t="n"/>
      <c r="B80" s="98">
        <f>IFERROR(INDEX(GroupLookup,MATCH($A80,CategoryList,0)),"")</f>
        <v/>
      </c>
      <c r="C80" s="83" t="n"/>
      <c r="D80" s="82" t="n"/>
      <c r="E80" s="82" t="n"/>
      <c r="F80" s="99" t="n"/>
      <c r="G80" s="81" t="n"/>
      <c r="H80" s="81" t="n"/>
      <c r="I80" s="99" t="n"/>
      <c r="J80" s="94">
        <f>IF($A80="","",IF($I80&lt;&gt;"চালু",0,$C80*IF($F80="প্রতিদিন",30,IF($F80="প্রতি সপ্তাহে",4.33,IF($F80="প্রতি মাসে",1,IF($F80="প্রতি বছরে",1/12,0))))))</f>
        <v/>
      </c>
    </row>
    <row r="81" ht="15" customHeight="1" s="52">
      <c r="A81" s="82" t="n"/>
      <c r="B81" s="98">
        <f>IFERROR(INDEX(GroupLookup,MATCH($A81,CategoryList,0)),"")</f>
        <v/>
      </c>
      <c r="C81" s="83" t="n"/>
      <c r="D81" s="82" t="n"/>
      <c r="E81" s="82" t="n"/>
      <c r="F81" s="99" t="n"/>
      <c r="G81" s="81" t="n"/>
      <c r="H81" s="81" t="n"/>
      <c r="I81" s="99" t="n"/>
      <c r="J81" s="94">
        <f>IF($A81="","",IF($I81&lt;&gt;"চালু",0,$C81*IF($F81="প্রতিদিন",30,IF($F81="প্রতি সপ্তাহে",4.33,IF($F81="প্রতি মাসে",1,IF($F81="প্রতি বছরে",1/12,0))))))</f>
        <v/>
      </c>
    </row>
    <row r="82" ht="15" customHeight="1" s="52">
      <c r="A82" s="82" t="n"/>
      <c r="B82" s="98">
        <f>IFERROR(INDEX(GroupLookup,MATCH($A82,CategoryList,0)),"")</f>
        <v/>
      </c>
      <c r="C82" s="83" t="n"/>
      <c r="D82" s="82" t="n"/>
      <c r="E82" s="82" t="n"/>
      <c r="F82" s="99" t="n"/>
      <c r="G82" s="81" t="n"/>
      <c r="H82" s="81" t="n"/>
      <c r="I82" s="99" t="n"/>
      <c r="J82" s="94">
        <f>IF($A82="","",IF($I82&lt;&gt;"চালু",0,$C82*IF($F82="প্রতিদিন",30,IF($F82="প্রতি সপ্তাহে",4.33,IF($F82="প্রতি মাসে",1,IF($F82="প্রতি বছরে",1/12,0))))))</f>
        <v/>
      </c>
    </row>
    <row r="83" ht="15" customHeight="1" s="52">
      <c r="A83" s="82" t="n"/>
      <c r="B83" s="98">
        <f>IFERROR(INDEX(GroupLookup,MATCH($A83,CategoryList,0)),"")</f>
        <v/>
      </c>
      <c r="C83" s="83" t="n"/>
      <c r="D83" s="82" t="n"/>
      <c r="E83" s="82" t="n"/>
      <c r="F83" s="99" t="n"/>
      <c r="G83" s="81" t="n"/>
      <c r="H83" s="81" t="n"/>
      <c r="I83" s="99" t="n"/>
      <c r="J83" s="94">
        <f>IF($A83="","",IF($I83&lt;&gt;"চালু",0,$C83*IF($F83="প্রতিদিন",30,IF($F83="প্রতি সপ্তাহে",4.33,IF($F83="প্রতি মাসে",1,IF($F83="প্রতি বছরে",1/12,0))))))</f>
        <v/>
      </c>
    </row>
    <row r="84" ht="15" customHeight="1" s="52">
      <c r="A84" s="82" t="n"/>
      <c r="B84" s="98">
        <f>IFERROR(INDEX(GroupLookup,MATCH($A84,CategoryList,0)),"")</f>
        <v/>
      </c>
      <c r="C84" s="83" t="n"/>
      <c r="D84" s="82" t="n"/>
      <c r="E84" s="82" t="n"/>
      <c r="F84" s="99" t="n"/>
      <c r="G84" s="81" t="n"/>
      <c r="H84" s="81" t="n"/>
      <c r="I84" s="99" t="n"/>
      <c r="J84" s="94">
        <f>IF($A84="","",IF($I84&lt;&gt;"চালু",0,$C84*IF($F84="প্রতিদিন",30,IF($F84="প্রতি সপ্তাহে",4.33,IF($F84="প্রতি মাসে",1,IF($F84="প্রতি বছরে",1/12,0))))))</f>
        <v/>
      </c>
    </row>
    <row r="85" ht="15" customHeight="1" s="52">
      <c r="A85" s="82" t="n"/>
      <c r="B85" s="98">
        <f>IFERROR(INDEX(GroupLookup,MATCH($A85,CategoryList,0)),"")</f>
        <v/>
      </c>
      <c r="C85" s="83" t="n"/>
      <c r="D85" s="82" t="n"/>
      <c r="E85" s="82" t="n"/>
      <c r="F85" s="99" t="n"/>
      <c r="G85" s="81" t="n"/>
      <c r="H85" s="81" t="n"/>
      <c r="I85" s="99" t="n"/>
      <c r="J85" s="94">
        <f>IF($A85="","",IF($I85&lt;&gt;"চালু",0,$C85*IF($F85="প্রতিদিন",30,IF($F85="প্রতি সপ্তাহে",4.33,IF($F85="প্রতি মাসে",1,IF($F85="প্রতি বছরে",1/12,0))))))</f>
        <v/>
      </c>
    </row>
    <row r="86" ht="15" customHeight="1" s="52">
      <c r="A86" s="82" t="n"/>
      <c r="B86" s="98">
        <f>IFERROR(INDEX(GroupLookup,MATCH($A86,CategoryList,0)),"")</f>
        <v/>
      </c>
      <c r="C86" s="83" t="n"/>
      <c r="D86" s="82" t="n"/>
      <c r="E86" s="82" t="n"/>
      <c r="F86" s="99" t="n"/>
      <c r="G86" s="81" t="n"/>
      <c r="H86" s="81" t="n"/>
      <c r="I86" s="99" t="n"/>
      <c r="J86" s="94">
        <f>IF($A86="","",IF($I86&lt;&gt;"চালু",0,$C86*IF($F86="প্রতিদিন",30,IF($F86="প্রতি সপ্তাহে",4.33,IF($F86="প্রতি মাসে",1,IF($F86="প্রতি বছরে",1/12,0))))))</f>
        <v/>
      </c>
    </row>
    <row r="87" ht="15" customHeight="1" s="52">
      <c r="A87" s="82" t="n"/>
      <c r="B87" s="98">
        <f>IFERROR(INDEX(GroupLookup,MATCH($A87,CategoryList,0)),"")</f>
        <v/>
      </c>
      <c r="C87" s="83" t="n"/>
      <c r="D87" s="82" t="n"/>
      <c r="E87" s="82" t="n"/>
      <c r="F87" s="99" t="n"/>
      <c r="G87" s="81" t="n"/>
      <c r="H87" s="81" t="n"/>
      <c r="I87" s="99" t="n"/>
      <c r="J87" s="94">
        <f>IF($A87="","",IF($I87&lt;&gt;"চালু",0,$C87*IF($F87="প্রতিদিন",30,IF($F87="প্রতি সপ্তাহে",4.33,IF($F87="প্রতি মাসে",1,IF($F87="প্রতি বছরে",1/12,0))))))</f>
        <v/>
      </c>
    </row>
    <row r="88" ht="15" customHeight="1" s="52">
      <c r="A88" s="82" t="n"/>
      <c r="B88" s="98">
        <f>IFERROR(INDEX(GroupLookup,MATCH($A88,CategoryList,0)),"")</f>
        <v/>
      </c>
      <c r="C88" s="83" t="n"/>
      <c r="D88" s="82" t="n"/>
      <c r="E88" s="82" t="n"/>
      <c r="F88" s="99" t="n"/>
      <c r="G88" s="81" t="n"/>
      <c r="H88" s="81" t="n"/>
      <c r="I88" s="99" t="n"/>
      <c r="J88" s="94">
        <f>IF($A88="","",IF($I88&lt;&gt;"চালু",0,$C88*IF($F88="প্রতিদিন",30,IF($F88="প্রতি সপ্তাহে",4.33,IF($F88="প্রতি মাসে",1,IF($F88="প্রতি বছরে",1/12,0))))))</f>
        <v/>
      </c>
    </row>
    <row r="89" ht="15" customHeight="1" s="52">
      <c r="A89" s="82" t="n"/>
      <c r="B89" s="98">
        <f>IFERROR(INDEX(GroupLookup,MATCH($A89,CategoryList,0)),"")</f>
        <v/>
      </c>
      <c r="C89" s="83" t="n"/>
      <c r="D89" s="82" t="n"/>
      <c r="E89" s="82" t="n"/>
      <c r="F89" s="99" t="n"/>
      <c r="G89" s="81" t="n"/>
      <c r="H89" s="81" t="n"/>
      <c r="I89" s="99" t="n"/>
      <c r="J89" s="94">
        <f>IF($A89="","",IF($I89&lt;&gt;"চালু",0,$C89*IF($F89="প্রতিদিন",30,IF($F89="প্রতি সপ্তাহে",4.33,IF($F89="প্রতি মাসে",1,IF($F89="প্রতি বছরে",1/12,0))))))</f>
        <v/>
      </c>
    </row>
    <row r="90" ht="15" customHeight="1" s="52">
      <c r="A90" s="82" t="n"/>
      <c r="B90" s="98">
        <f>IFERROR(INDEX(GroupLookup,MATCH($A90,CategoryList,0)),"")</f>
        <v/>
      </c>
      <c r="C90" s="83" t="n"/>
      <c r="D90" s="82" t="n"/>
      <c r="E90" s="82" t="n"/>
      <c r="F90" s="99" t="n"/>
      <c r="G90" s="81" t="n"/>
      <c r="H90" s="81" t="n"/>
      <c r="I90" s="99" t="n"/>
      <c r="J90" s="94">
        <f>IF($A90="","",IF($I90&lt;&gt;"চালু",0,$C90*IF($F90="প্রতিদিন",30,IF($F90="প্রতি সপ্তাহে",4.33,IF($F90="প্রতি মাসে",1,IF($F90="প্রতি বছরে",1/12,0))))))</f>
        <v/>
      </c>
    </row>
    <row r="91" ht="15" customHeight="1" s="52">
      <c r="A91" s="82" t="n"/>
      <c r="B91" s="98">
        <f>IFERROR(INDEX(GroupLookup,MATCH($A91,CategoryList,0)),"")</f>
        <v/>
      </c>
      <c r="C91" s="83" t="n"/>
      <c r="D91" s="82" t="n"/>
      <c r="E91" s="82" t="n"/>
      <c r="F91" s="99" t="n"/>
      <c r="G91" s="81" t="n"/>
      <c r="H91" s="81" t="n"/>
      <c r="I91" s="99" t="n"/>
      <c r="J91" s="94">
        <f>IF($A91="","",IF($I91&lt;&gt;"চালু",0,$C91*IF($F91="প্রতিদিন",30,IF($F91="প্রতি সপ্তাহে",4.33,IF($F91="প্রতি মাসে",1,IF($F91="প্রতি বছরে",1/12,0))))))</f>
        <v/>
      </c>
    </row>
    <row r="92" ht="15" customHeight="1" s="52">
      <c r="A92" s="82" t="n"/>
      <c r="B92" s="98">
        <f>IFERROR(INDEX(GroupLookup,MATCH($A92,CategoryList,0)),"")</f>
        <v/>
      </c>
      <c r="C92" s="83" t="n"/>
      <c r="D92" s="82" t="n"/>
      <c r="E92" s="82" t="n"/>
      <c r="F92" s="99" t="n"/>
      <c r="G92" s="81" t="n"/>
      <c r="H92" s="81" t="n"/>
      <c r="I92" s="99" t="n"/>
      <c r="J92" s="94">
        <f>IF($A92="","",IF($I92&lt;&gt;"চালু",0,$C92*IF($F92="প্রতিদিন",30,IF($F92="প্রতি সপ্তাহে",4.33,IF($F92="প্রতি মাসে",1,IF($F92="প্রতি বছরে",1/12,0))))))</f>
        <v/>
      </c>
    </row>
    <row r="93" ht="15" customHeight="1" s="52">
      <c r="A93" s="82" t="n"/>
      <c r="B93" s="98">
        <f>IFERROR(INDEX(GroupLookup,MATCH($A93,CategoryList,0)),"")</f>
        <v/>
      </c>
      <c r="C93" s="83" t="n"/>
      <c r="D93" s="82" t="n"/>
      <c r="E93" s="82" t="n"/>
      <c r="F93" s="99" t="n"/>
      <c r="G93" s="81" t="n"/>
      <c r="H93" s="81" t="n"/>
      <c r="I93" s="99" t="n"/>
      <c r="J93" s="94">
        <f>IF($A93="","",IF($I93&lt;&gt;"চালু",0,$C93*IF($F93="প্রতিদিন",30,IF($F93="প্রতি সপ্তাহে",4.33,IF($F93="প্রতি মাসে",1,IF($F93="প্রতি বছরে",1/12,0))))))</f>
        <v/>
      </c>
    </row>
    <row r="94" ht="15" customHeight="1" s="52">
      <c r="A94" s="82" t="n"/>
      <c r="B94" s="98">
        <f>IFERROR(INDEX(GroupLookup,MATCH($A94,CategoryList,0)),"")</f>
        <v/>
      </c>
      <c r="C94" s="83" t="n"/>
      <c r="D94" s="82" t="n"/>
      <c r="E94" s="82" t="n"/>
      <c r="F94" s="99" t="n"/>
      <c r="G94" s="81" t="n"/>
      <c r="H94" s="81" t="n"/>
      <c r="I94" s="99" t="n"/>
      <c r="J94" s="94">
        <f>IF($A94="","",IF($I94&lt;&gt;"চালু",0,$C94*IF($F94="প্রতিদিন",30,IF($F94="প্রতি সপ্তাহে",4.33,IF($F94="প্রতি মাসে",1,IF($F94="প্রতি বছরে",1/12,0))))))</f>
        <v/>
      </c>
    </row>
    <row r="95" ht="15" customHeight="1" s="52">
      <c r="A95" s="82" t="n"/>
      <c r="B95" s="98">
        <f>IFERROR(INDEX(GroupLookup,MATCH($A95,CategoryList,0)),"")</f>
        <v/>
      </c>
      <c r="C95" s="83" t="n"/>
      <c r="D95" s="82" t="n"/>
      <c r="E95" s="82" t="n"/>
      <c r="F95" s="99" t="n"/>
      <c r="G95" s="81" t="n"/>
      <c r="H95" s="81" t="n"/>
      <c r="I95" s="99" t="n"/>
      <c r="J95" s="94">
        <f>IF($A95="","",IF($I95&lt;&gt;"চালু",0,$C95*IF($F95="প্রতিদিন",30,IF($F95="প্রতি সপ্তাহে",4.33,IF($F95="প্রতি মাসে",1,IF($F95="প্রতি বছরে",1/12,0))))))</f>
        <v/>
      </c>
    </row>
    <row r="96" ht="15" customHeight="1" s="52">
      <c r="A96" s="82" t="n"/>
      <c r="B96" s="98">
        <f>IFERROR(INDEX(GroupLookup,MATCH($A96,CategoryList,0)),"")</f>
        <v/>
      </c>
      <c r="C96" s="83" t="n"/>
      <c r="D96" s="82" t="n"/>
      <c r="E96" s="82" t="n"/>
      <c r="F96" s="99" t="n"/>
      <c r="G96" s="81" t="n"/>
      <c r="H96" s="81" t="n"/>
      <c r="I96" s="99" t="n"/>
      <c r="J96" s="94">
        <f>IF($A96="","",IF($I96&lt;&gt;"চালু",0,$C96*IF($F96="প্রতিদিন",30,IF($F96="প্রতি সপ্তাহে",4.33,IF($F96="প্রতি মাসে",1,IF($F96="প্রতি বছরে",1/12,0))))))</f>
        <v/>
      </c>
    </row>
    <row r="97" ht="15" customHeight="1" s="52">
      <c r="A97" s="82" t="n"/>
      <c r="B97" s="98">
        <f>IFERROR(INDEX(GroupLookup,MATCH($A97,CategoryList,0)),"")</f>
        <v/>
      </c>
      <c r="C97" s="83" t="n"/>
      <c r="D97" s="82" t="n"/>
      <c r="E97" s="82" t="n"/>
      <c r="F97" s="99" t="n"/>
      <c r="G97" s="81" t="n"/>
      <c r="H97" s="81" t="n"/>
      <c r="I97" s="99" t="n"/>
      <c r="J97" s="94">
        <f>IF($A97="","",IF($I97&lt;&gt;"চালু",0,$C97*IF($F97="প্রতিদিন",30,IF($F97="প্রতি সপ্তাহে",4.33,IF($F97="প্রতি মাসে",1,IF($F97="প্রতি বছরে",1/12,0))))))</f>
        <v/>
      </c>
    </row>
    <row r="98" ht="15" customHeight="1" s="52">
      <c r="A98" s="82" t="n"/>
      <c r="B98" s="98">
        <f>IFERROR(INDEX(GroupLookup,MATCH($A98,CategoryList,0)),"")</f>
        <v/>
      </c>
      <c r="C98" s="83" t="n"/>
      <c r="D98" s="82" t="n"/>
      <c r="E98" s="82" t="n"/>
      <c r="F98" s="99" t="n"/>
      <c r="G98" s="81" t="n"/>
      <c r="H98" s="81" t="n"/>
      <c r="I98" s="99" t="n"/>
      <c r="J98" s="94">
        <f>IF($A98="","",IF($I98&lt;&gt;"চালু",0,$C98*IF($F98="প্রতিদিন",30,IF($F98="প্রতি সপ্তাহে",4.33,IF($F98="প্রতি মাসে",1,IF($F98="প্রতি বছরে",1/12,0))))))</f>
        <v/>
      </c>
    </row>
    <row r="99" ht="15" customHeight="1" s="52">
      <c r="A99" s="82" t="n"/>
      <c r="B99" s="98">
        <f>IFERROR(INDEX(GroupLookup,MATCH($A99,CategoryList,0)),"")</f>
        <v/>
      </c>
      <c r="C99" s="83" t="n"/>
      <c r="D99" s="82" t="n"/>
      <c r="E99" s="82" t="n"/>
      <c r="F99" s="99" t="n"/>
      <c r="G99" s="81" t="n"/>
      <c r="H99" s="81" t="n"/>
      <c r="I99" s="99" t="n"/>
      <c r="J99" s="94">
        <f>IF($A99="","",IF($I99&lt;&gt;"চালু",0,$C99*IF($F99="প্রতিদিন",30,IF($F99="প্রতি সপ্তাহে",4.33,IF($F99="প্রতি মাসে",1,IF($F99="প্রতি বছরে",1/12,0))))))</f>
        <v/>
      </c>
    </row>
    <row r="100" ht="15" customHeight="1" s="52">
      <c r="A100" s="82" t="n"/>
      <c r="B100" s="98">
        <f>IFERROR(INDEX(GroupLookup,MATCH($A100,CategoryList,0)),"")</f>
        <v/>
      </c>
      <c r="C100" s="83" t="n"/>
      <c r="D100" s="82" t="n"/>
      <c r="E100" s="82" t="n"/>
      <c r="F100" s="99" t="n"/>
      <c r="G100" s="81" t="n"/>
      <c r="H100" s="81" t="n"/>
      <c r="I100" s="99" t="n"/>
      <c r="J100" s="94">
        <f>IF($A100="","",IF($I100&lt;&gt;"চালু",0,$C100*IF($F100="প্রতিদিন",30,IF($F100="প্রতি সপ্তাহে",4.33,IF($F100="প্রতি মাসে",1,IF($F100="প্রতি বছরে",1/12,0))))))</f>
        <v/>
      </c>
    </row>
    <row r="101" ht="15" customHeight="1" s="52">
      <c r="A101" s="82" t="n"/>
      <c r="B101" s="98">
        <f>IFERROR(INDEX(GroupLookup,MATCH($A101,CategoryList,0)),"")</f>
        <v/>
      </c>
      <c r="C101" s="83" t="n"/>
      <c r="D101" s="82" t="n"/>
      <c r="E101" s="82" t="n"/>
      <c r="F101" s="99" t="n"/>
      <c r="G101" s="81" t="n"/>
      <c r="H101" s="81" t="n"/>
      <c r="I101" s="99" t="n"/>
      <c r="J101" s="94">
        <f>IF($A101="","",IF($I101&lt;&gt;"চালু",0,$C101*IF($F101="প্রতিদিন",30,IF($F101="প্রতি সপ্তাহে",4.33,IF($F101="প্রতি মাসে",1,IF($F101="প্রতি বছরে",1/12,0))))))</f>
        <v/>
      </c>
    </row>
    <row r="102" ht="15" customHeight="1" s="52">
      <c r="A102" s="82" t="n"/>
      <c r="B102" s="98">
        <f>IFERROR(INDEX(GroupLookup,MATCH($A102,CategoryList,0)),"")</f>
        <v/>
      </c>
      <c r="C102" s="83" t="n"/>
      <c r="D102" s="82" t="n"/>
      <c r="E102" s="82" t="n"/>
      <c r="F102" s="99" t="n"/>
      <c r="G102" s="81" t="n"/>
      <c r="H102" s="81" t="n"/>
      <c r="I102" s="99" t="n"/>
      <c r="J102" s="94">
        <f>IF($A102="","",IF($I102&lt;&gt;"চালু",0,$C102*IF($F102="প্রতিদিন",30,IF($F102="প্রতি সপ্তাহে",4.33,IF($F102="প্রতি মাসে",1,IF($F102="প্রতি বছরে",1/12,0))))))</f>
        <v/>
      </c>
    </row>
    <row r="103" ht="15" customHeight="1" s="52">
      <c r="A103" s="82" t="n"/>
      <c r="B103" s="98">
        <f>IFERROR(INDEX(GroupLookup,MATCH($A103,CategoryList,0)),"")</f>
        <v/>
      </c>
      <c r="C103" s="83" t="n"/>
      <c r="D103" s="82" t="n"/>
      <c r="E103" s="82" t="n"/>
      <c r="F103" s="99" t="n"/>
      <c r="G103" s="81" t="n"/>
      <c r="H103" s="81" t="n"/>
      <c r="I103" s="99" t="n"/>
      <c r="J103" s="94">
        <f>IF($A103="","",IF($I103&lt;&gt;"চালু",0,$C103*IF($F103="প্রতিদিন",30,IF($F103="প্রতি সপ্তাহে",4.33,IF($F103="প্রতি মাসে",1,IF($F103="প্রতি বছরে",1/12,0))))))</f>
        <v/>
      </c>
    </row>
  </sheetData>
  <mergeCells count="3">
    <mergeCell ref="L1:M1"/>
    <mergeCell ref="A1:J1"/>
    <mergeCell ref="A2:J2"/>
  </mergeCells>
  <conditionalFormatting sqref="A4:J103">
    <cfRule type="expression" priority="1" dxfId="8" stopIfTrue="1">
      <formula>AND($A4&lt;&gt;"",$C4="")</formula>
    </cfRule>
    <cfRule type="expression" priority="2" dxfId="9" stopIfTrue="0">
      <formula>AND($I4="চালু",$H4&lt;&gt;"",$H4&lt;TODAY())</formula>
    </cfRule>
  </conditionalFormatting>
  <dataValidations count="7">
    <dataValidation sqref="A4:A103" showDropDown="0" showInputMessage="0" showErrorMessage="1" allowBlank="1" errorTitle="খাত তালিকায় নেই" error="‘সেটিংস’ শিটের তালিকা থেকে খাত বেছে নিন।" type="list" errorStyle="stop">
      <formula1>=CategoryList</formula1>
    </dataValidation>
    <dataValidation sqref="D4:D103" showDropDown="0" showInputMessage="0" showErrorMessage="1" allowBlank="1" errorTitle="পেমেন্ট মাধ্যম বেছে নিন" error="‘সেটিংস’ শিটের তালিকা থেকে পেমেন্ট মাধ্যম বেছে নিন।" type="list" errorStyle="stop">
      <formula1>=PaymentList</formula1>
    </dataValidation>
    <dataValidation sqref="F4:F103" showDropDown="0" showInputMessage="0" showErrorMessage="1" allowBlank="1" errorTitle="পুনরাবৃত্তি বেছে নিন" error="প্রতিদিন / প্রতি সপ্তাহে / প্রতি মাসে / প্রতি বছরে — একটি বেছে নিন।" type="list" errorStyle="stop">
      <formula1>"প্রতিদিন,প্রতি সপ্তাহে,প্রতি মাসে,প্রতি বছরে"</formula1>
    </dataValidation>
    <dataValidation sqref="I4:I103" showDropDown="0" showInputMessage="0" showErrorMessage="1" allowBlank="1" errorTitle="অবস্থা বেছে নিন" error="‘চালু’ বা ‘বন্ধ’ বেছে নিন।" type="list" errorStyle="stop">
      <formula1>"চালু,বন্ধ"</formula1>
    </dataValidation>
    <dataValidation sqref="C4:C103" showDropDown="0" showInputMessage="0" showErrorMessage="1" allowBlank="1" errorTitle="পরিমাণ ঠিক নয়" error="শুধু শূন্য বা তার বেশি সংখ্যা লিখুন।" type="decimal" errorStyle="stop" operator="greaterThanOrEqual">
      <formula1>0</formula1>
    </dataValidation>
    <dataValidation sqref="G4:G103" showDropDown="0" showInputMessage="0" showErrorMessage="1" allowBlank="1" errorTitle="তারিখ দেখে নিন" error="এটি তারিখ হিসেবে পড়া যায়নি। DD/MM/YYYY আকারে লিখুন।" type="date" errorStyle="warning" operator="greaterThanOrEqual">
      <formula1>DATE(2000,1,1)</formula1>
    </dataValidation>
    <dataValidation sqref="H4:H103" showDropDown="0" showInputMessage="0" showErrorMessage="1" allowBlank="1" errorTitle="তারিখ দেখে নিন" error="এটি তারিখ হিসেবে পড়া যায়নি। DD/MM/YYYY আকারে লিখুন।" type="date" errorStyle="warning" operator="greaterThanOrEqual">
      <formula1>DATE(2000,1,1)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8" customWidth="1" style="51" min="1" max="1"/>
    <col width="34" customWidth="1" style="51" min="2" max="2"/>
    <col width="26" customWidth="1" style="51" min="3" max="3"/>
    <col width="3" customWidth="1" style="51" min="4" max="4"/>
    <col width="26" customWidth="1" style="51" min="5" max="5"/>
    <col width="3" customWidth="1" style="51" min="6" max="6"/>
    <col width="26" customWidth="1" style="51" min="7" max="7"/>
    <col width="3" customWidth="1" style="51" min="8" max="26"/>
    <col width="26" customWidth="1" style="52" min="9" max="9"/>
  </cols>
  <sheetData>
    <row r="1" ht="15" customHeight="1" s="52">
      <c r="A1" s="100" t="inlineStr">
        <is>
          <t>ক্রমিক</t>
        </is>
      </c>
      <c r="B1" s="100" t="inlineStr">
        <is>
          <t>খাত (উপশ্রেণি)</t>
        </is>
      </c>
      <c r="C1" s="100" t="inlineStr">
        <is>
          <t>গ্রুপ (প্রধান খাত)</t>
        </is>
      </c>
      <c r="E1" s="100" t="inlineStr">
        <is>
          <t>গ্রুপ তালিকা</t>
        </is>
      </c>
      <c r="G1" s="100" t="inlineStr">
        <is>
          <t>পেমেন্ট মাধ্যম</t>
        </is>
      </c>
      <c r="I1" s="101" t="inlineStr">
        <is>
          <t>মাসিক শিটের তালিকা</t>
        </is>
      </c>
    </row>
    <row r="2" ht="15" customHeight="1" s="52">
      <c r="A2" s="102" t="n">
        <v>1</v>
      </c>
      <c r="B2" s="103" t="inlineStr">
        <is>
          <t>চাল</t>
        </is>
      </c>
      <c r="C2" s="103" t="inlineStr">
        <is>
          <t>খাদ্য ও মুদি</t>
        </is>
      </c>
      <c r="E2" s="103" t="inlineStr">
        <is>
          <t>খাদ্য ও মুদি</t>
        </is>
      </c>
      <c r="G2" s="103" t="inlineStr">
        <is>
          <t>নগদ টাকা</t>
        </is>
      </c>
      <c r="I2" s="82" t="inlineStr">
        <is>
          <t>জানুয়ারি ২০২৬</t>
        </is>
      </c>
    </row>
    <row r="3" ht="15" customHeight="1" s="52">
      <c r="A3" s="102" t="n">
        <v>2</v>
      </c>
      <c r="B3" s="103" t="inlineStr">
        <is>
          <t>আটা ও ময়দা</t>
        </is>
      </c>
      <c r="C3" s="103" t="inlineStr">
        <is>
          <t>খাদ্য ও মুদি</t>
        </is>
      </c>
      <c r="E3" s="103" t="inlineStr">
        <is>
          <t>বাসস্থান</t>
        </is>
      </c>
      <c r="G3" s="103" t="inlineStr">
        <is>
          <t>বিকাশ</t>
        </is>
      </c>
      <c r="I3" s="82" t="inlineStr">
        <is>
          <t>ফেব্রুয়ারি ২০২৬</t>
        </is>
      </c>
    </row>
    <row r="4" ht="15" customHeight="1" s="52">
      <c r="A4" s="102" t="n">
        <v>3</v>
      </c>
      <c r="B4" s="103" t="inlineStr">
        <is>
          <t>ডাল</t>
        </is>
      </c>
      <c r="C4" s="103" t="inlineStr">
        <is>
          <t>খাদ্য ও মুদি</t>
        </is>
      </c>
      <c r="E4" s="103" t="inlineStr">
        <is>
          <t>ইউটিলিটি বিল</t>
        </is>
      </c>
      <c r="G4" s="103" t="inlineStr">
        <is>
          <t>নগদ (অ্যাপ)</t>
        </is>
      </c>
      <c r="I4" s="82" t="inlineStr">
        <is>
          <t>মার্চ ২০২৬</t>
        </is>
      </c>
    </row>
    <row r="5" ht="15" customHeight="1" s="52">
      <c r="A5" s="102" t="n">
        <v>4</v>
      </c>
      <c r="B5" s="103" t="inlineStr">
        <is>
          <t>মাছ</t>
        </is>
      </c>
      <c r="C5" s="103" t="inlineStr">
        <is>
          <t>খাদ্য ও মুদি</t>
        </is>
      </c>
      <c r="E5" s="103" t="inlineStr">
        <is>
          <t>যাতায়াত</t>
        </is>
      </c>
      <c r="G5" s="103" t="inlineStr">
        <is>
          <t>রকেট</t>
        </is>
      </c>
      <c r="I5" s="82" t="inlineStr">
        <is>
          <t>এপ্রিল ২০২৬</t>
        </is>
      </c>
    </row>
    <row r="6" ht="15" customHeight="1" s="52">
      <c r="A6" s="102" t="n">
        <v>5</v>
      </c>
      <c r="B6" s="103" t="inlineStr">
        <is>
          <t>মাংস</t>
        </is>
      </c>
      <c r="C6" s="103" t="inlineStr">
        <is>
          <t>খাদ্য ও মুদি</t>
        </is>
      </c>
      <c r="E6" s="103" t="inlineStr">
        <is>
          <t>স্বাস্থ্য</t>
        </is>
      </c>
      <c r="G6" s="103" t="inlineStr">
        <is>
          <t>ডেবিট / ক্রেডিট কার্ড</t>
        </is>
      </c>
      <c r="I6" s="82" t="inlineStr">
        <is>
          <t>মে ২০২৬</t>
        </is>
      </c>
    </row>
    <row r="7" ht="15" customHeight="1" s="52">
      <c r="A7" s="102" t="n">
        <v>6</v>
      </c>
      <c r="B7" s="103" t="inlineStr">
        <is>
          <t>ডিম</t>
        </is>
      </c>
      <c r="C7" s="103" t="inlineStr">
        <is>
          <t>খাদ্য ও মুদি</t>
        </is>
      </c>
      <c r="E7" s="103" t="inlineStr">
        <is>
          <t>শিক্ষা</t>
        </is>
      </c>
      <c r="G7" s="103" t="inlineStr">
        <is>
          <t>ব্যাংক ট্রান্সফার</t>
        </is>
      </c>
      <c r="I7" s="82" t="inlineStr">
        <is>
          <t>জুন ২০২৬</t>
        </is>
      </c>
    </row>
    <row r="8" ht="15" customHeight="1" s="52">
      <c r="A8" s="102" t="n">
        <v>7</v>
      </c>
      <c r="B8" s="103" t="inlineStr">
        <is>
          <t>দুধ ও দুগ্ধজাত পণ্য</t>
        </is>
      </c>
      <c r="C8" s="103" t="inlineStr">
        <is>
          <t>খাদ্য ও মুদি</t>
        </is>
      </c>
      <c r="E8" s="103" t="inlineStr">
        <is>
          <t>ব্যক্তিগত ও গৃহস্থালি</t>
        </is>
      </c>
      <c r="I8" s="82" t="inlineStr">
        <is>
          <t>জুলাই ২০২৬</t>
        </is>
      </c>
    </row>
    <row r="9" ht="15" customHeight="1" s="52">
      <c r="A9" s="102" t="n">
        <v>8</v>
      </c>
      <c r="B9" s="103" t="inlineStr">
        <is>
          <t>ভোজ্য তেল</t>
        </is>
      </c>
      <c r="C9" s="103" t="inlineStr">
        <is>
          <t>খাদ্য ও মুদি</t>
        </is>
      </c>
      <c r="E9" s="103" t="inlineStr">
        <is>
          <t>অন্যান্য</t>
        </is>
      </c>
      <c r="I9" s="82" t="inlineStr">
        <is>
          <t>আগস্ট ২০২৬</t>
        </is>
      </c>
    </row>
    <row r="10" ht="15" customHeight="1" s="52">
      <c r="A10" s="102" t="n">
        <v>9</v>
      </c>
      <c r="B10" s="103" t="inlineStr">
        <is>
          <t>শাক-সবজি</t>
        </is>
      </c>
      <c r="C10" s="103" t="inlineStr">
        <is>
          <t>খাদ্য ও মুদি</t>
        </is>
      </c>
      <c r="I10" s="82" t="inlineStr">
        <is>
          <t>সেপ্টেম্বর ২০২৬</t>
        </is>
      </c>
    </row>
    <row r="11" ht="15" customHeight="1" s="52">
      <c r="A11" s="102" t="n">
        <v>10</v>
      </c>
      <c r="B11" s="103" t="inlineStr">
        <is>
          <t>ফলমূল</t>
        </is>
      </c>
      <c r="C11" s="103" t="inlineStr">
        <is>
          <t>খাদ্য ও মুদি</t>
        </is>
      </c>
      <c r="I11" s="82" t="inlineStr">
        <is>
          <t>অক্টোবর ২০২৬</t>
        </is>
      </c>
    </row>
    <row r="12" ht="15" customHeight="1" s="52">
      <c r="A12" s="102" t="n">
        <v>11</v>
      </c>
      <c r="B12" s="103" t="inlineStr">
        <is>
          <t>মসলা</t>
        </is>
      </c>
      <c r="C12" s="103" t="inlineStr">
        <is>
          <t>খাদ্য ও মুদি</t>
        </is>
      </c>
      <c r="I12" s="82" t="inlineStr">
        <is>
          <t>নভেম্বর ২০২৬</t>
        </is>
      </c>
    </row>
    <row r="13" ht="15" customHeight="1" s="52">
      <c r="A13" s="102" t="n">
        <v>12</v>
      </c>
      <c r="B13" s="103" t="inlineStr">
        <is>
          <t>চিনি ও লবণ</t>
        </is>
      </c>
      <c r="C13" s="103" t="inlineStr">
        <is>
          <t>খাদ্য ও মুদি</t>
        </is>
      </c>
      <c r="I13" s="82" t="inlineStr">
        <is>
          <t>ডিসেম্বর ২০২৬</t>
        </is>
      </c>
    </row>
    <row r="14" ht="15" customHeight="1" s="52">
      <c r="A14" s="102" t="n">
        <v>13</v>
      </c>
      <c r="B14" s="103" t="inlineStr">
        <is>
          <t>চা ও কফি</t>
        </is>
      </c>
      <c r="C14" s="103" t="inlineStr">
        <is>
          <t>খাদ্য ও মুদি</t>
        </is>
      </c>
    </row>
    <row r="15" ht="15" customHeight="1" s="52">
      <c r="A15" s="102" t="n">
        <v>14</v>
      </c>
      <c r="B15" s="103" t="inlineStr">
        <is>
          <t>নাশতা ও বেকারি</t>
        </is>
      </c>
      <c r="C15" s="103" t="inlineStr">
        <is>
          <t>খাদ্য ও মুদি</t>
        </is>
      </c>
    </row>
    <row r="16" ht="15" customHeight="1" s="52">
      <c r="A16" s="102" t="n">
        <v>15</v>
      </c>
      <c r="B16" s="103" t="inlineStr">
        <is>
          <t>বাইরে খাওয়া / রেস্তোরাঁ</t>
        </is>
      </c>
      <c r="C16" s="103" t="inlineStr">
        <is>
          <t>খাদ্য ও মুদি</t>
        </is>
      </c>
    </row>
    <row r="17" ht="15" customHeight="1" s="52">
      <c r="A17" s="102" t="n">
        <v>16</v>
      </c>
      <c r="B17" s="103" t="inlineStr">
        <is>
          <t>বাড়ি ভাড়া</t>
        </is>
      </c>
      <c r="C17" s="103" t="inlineStr">
        <is>
          <t>বাসস্থান</t>
        </is>
      </c>
    </row>
    <row r="18" ht="15" customHeight="1" s="52">
      <c r="A18" s="102" t="n">
        <v>17</v>
      </c>
      <c r="B18" s="103" t="inlineStr">
        <is>
          <t>সার্ভিস চার্জ</t>
        </is>
      </c>
      <c r="C18" s="103" t="inlineStr">
        <is>
          <t>বাসস্থান</t>
        </is>
      </c>
    </row>
    <row r="19" ht="15" customHeight="1" s="52">
      <c r="A19" s="102" t="n">
        <v>18</v>
      </c>
      <c r="B19" s="103" t="inlineStr">
        <is>
          <t>বাড়ি মেরামত ও রক্ষণাবেক্ষণ</t>
        </is>
      </c>
      <c r="C19" s="103" t="inlineStr">
        <is>
          <t>বাসস্থান</t>
        </is>
      </c>
    </row>
    <row r="20" ht="15" customHeight="1" s="52">
      <c r="A20" s="102" t="n">
        <v>19</v>
      </c>
      <c r="B20" s="103" t="inlineStr">
        <is>
          <t>গৃহকর্মীর বেতন</t>
        </is>
      </c>
      <c r="C20" s="103" t="inlineStr">
        <is>
          <t>বাসস্থান</t>
        </is>
      </c>
    </row>
    <row r="21" ht="15.75" customHeight="1" s="52">
      <c r="A21" s="102" t="n">
        <v>20</v>
      </c>
      <c r="B21" s="103" t="inlineStr">
        <is>
          <t>আসবাবপত্র</t>
        </is>
      </c>
      <c r="C21" s="103" t="inlineStr">
        <is>
          <t>বাসস্থান</t>
        </is>
      </c>
    </row>
    <row r="22" ht="15.75" customHeight="1" s="52">
      <c r="A22" s="102" t="n">
        <v>21</v>
      </c>
      <c r="B22" s="103" t="inlineStr">
        <is>
          <t>বিদ্যুৎ বিল</t>
        </is>
      </c>
      <c r="C22" s="103" t="inlineStr">
        <is>
          <t>ইউটিলিটি বিল</t>
        </is>
      </c>
    </row>
    <row r="23" ht="15.75" customHeight="1" s="52">
      <c r="A23" s="102" t="n">
        <v>22</v>
      </c>
      <c r="B23" s="103" t="inlineStr">
        <is>
          <t>গ্যাস বিল</t>
        </is>
      </c>
      <c r="C23" s="103" t="inlineStr">
        <is>
          <t>ইউটিলিটি বিল</t>
        </is>
      </c>
    </row>
    <row r="24" ht="15.75" customHeight="1" s="52">
      <c r="A24" s="102" t="n">
        <v>23</v>
      </c>
      <c r="B24" s="103" t="inlineStr">
        <is>
          <t>পানির বিল</t>
        </is>
      </c>
      <c r="C24" s="103" t="inlineStr">
        <is>
          <t>ইউটিলিটি বিল</t>
        </is>
      </c>
    </row>
    <row r="25" ht="15.75" customHeight="1" s="52">
      <c r="A25" s="102" t="n">
        <v>24</v>
      </c>
      <c r="B25" s="103" t="inlineStr">
        <is>
          <t>ইন্টারনেট বিল</t>
        </is>
      </c>
      <c r="C25" s="103" t="inlineStr">
        <is>
          <t>ইউটিলিটি বিল</t>
        </is>
      </c>
    </row>
    <row r="26" ht="15.75" customHeight="1" s="52">
      <c r="A26" s="102" t="n">
        <v>25</v>
      </c>
      <c r="B26" s="103" t="inlineStr">
        <is>
          <t>মোবাইল রিচার্জ</t>
        </is>
      </c>
      <c r="C26" s="103" t="inlineStr">
        <is>
          <t>ইউটিলিটি বিল</t>
        </is>
      </c>
    </row>
    <row r="27" ht="15.75" customHeight="1" s="52">
      <c r="A27" s="102" t="n">
        <v>26</v>
      </c>
      <c r="B27" s="103" t="inlineStr">
        <is>
          <t>ডিশ / ক্যাবল বিল</t>
        </is>
      </c>
      <c r="C27" s="103" t="inlineStr">
        <is>
          <t>ইউটিলিটি বিল</t>
        </is>
      </c>
    </row>
    <row r="28" ht="15.75" customHeight="1" s="52">
      <c r="A28" s="102" t="n">
        <v>27</v>
      </c>
      <c r="B28" s="103" t="inlineStr">
        <is>
          <t>পৌর কর ও হোল্ডিং ট্যাক্স</t>
        </is>
      </c>
      <c r="C28" s="103" t="inlineStr">
        <is>
          <t>ইউটিলিটি বিল</t>
        </is>
      </c>
    </row>
    <row r="29" ht="15.75" customHeight="1" s="52">
      <c r="A29" s="102" t="n">
        <v>28</v>
      </c>
      <c r="B29" s="103" t="inlineStr">
        <is>
          <t>ময়লা ও পরিচ্ছন্নতা বিল</t>
        </is>
      </c>
      <c r="C29" s="103" t="inlineStr">
        <is>
          <t>ইউটিলিটি বিল</t>
        </is>
      </c>
    </row>
    <row r="30" ht="15.75" customHeight="1" s="52">
      <c r="A30" s="102" t="n">
        <v>29</v>
      </c>
      <c r="B30" s="103" t="inlineStr">
        <is>
          <t>রিকশা / সিএনজি</t>
        </is>
      </c>
      <c r="C30" s="103" t="inlineStr">
        <is>
          <t>যাতায়াত</t>
        </is>
      </c>
    </row>
    <row r="31" ht="15.75" customHeight="1" s="52">
      <c r="A31" s="102" t="n">
        <v>30</v>
      </c>
      <c r="B31" s="103" t="inlineStr">
        <is>
          <t>বাস / ট্রেন / লঞ্চ ভাড়া</t>
        </is>
      </c>
      <c r="C31" s="103" t="inlineStr">
        <is>
          <t>যাতায়াত</t>
        </is>
      </c>
    </row>
    <row r="32" ht="15.75" customHeight="1" s="52">
      <c r="A32" s="102" t="n">
        <v>31</v>
      </c>
      <c r="B32" s="103" t="inlineStr">
        <is>
          <t>রাইড শেয়ারিং</t>
        </is>
      </c>
      <c r="C32" s="103" t="inlineStr">
        <is>
          <t>যাতায়াত</t>
        </is>
      </c>
    </row>
    <row r="33" ht="15.75" customHeight="1" s="52">
      <c r="A33" s="102" t="n">
        <v>32</v>
      </c>
      <c r="B33" s="103" t="inlineStr">
        <is>
          <t>জ্বালানি (পেট্রোল / ডিজেল)</t>
        </is>
      </c>
      <c r="C33" s="103" t="inlineStr">
        <is>
          <t>যাতায়াত</t>
        </is>
      </c>
    </row>
    <row r="34" ht="15.75" customHeight="1" s="52">
      <c r="A34" s="102" t="n">
        <v>33</v>
      </c>
      <c r="B34" s="103" t="inlineStr">
        <is>
          <t>গাড়ি / বাইক রক্ষণাবেক্ষণ</t>
        </is>
      </c>
      <c r="C34" s="103" t="inlineStr">
        <is>
          <t>যাতায়াত</t>
        </is>
      </c>
    </row>
    <row r="35" ht="15.75" customHeight="1" s="52">
      <c r="A35" s="102" t="n">
        <v>34</v>
      </c>
      <c r="B35" s="103" t="inlineStr">
        <is>
          <t>পার্কিং ও টোল</t>
        </is>
      </c>
      <c r="C35" s="103" t="inlineStr">
        <is>
          <t>যাতায়াত</t>
        </is>
      </c>
    </row>
    <row r="36" ht="15.75" customHeight="1" s="52">
      <c r="A36" s="102" t="n">
        <v>35</v>
      </c>
      <c r="B36" s="103" t="inlineStr">
        <is>
          <t>ওষুধ</t>
        </is>
      </c>
      <c r="C36" s="103" t="inlineStr">
        <is>
          <t>স্বাস্থ্য</t>
        </is>
      </c>
    </row>
    <row r="37" ht="15.75" customHeight="1" s="52">
      <c r="A37" s="102" t="n">
        <v>36</v>
      </c>
      <c r="B37" s="103" t="inlineStr">
        <is>
          <t>ডাক্তারের ফি</t>
        </is>
      </c>
      <c r="C37" s="103" t="inlineStr">
        <is>
          <t>স্বাস্থ্য</t>
        </is>
      </c>
    </row>
    <row r="38" ht="15.75" customHeight="1" s="52">
      <c r="A38" s="102" t="n">
        <v>37</v>
      </c>
      <c r="B38" s="103" t="inlineStr">
        <is>
          <t>চিকিৎসা পরীক্ষা</t>
        </is>
      </c>
      <c r="C38" s="103" t="inlineStr">
        <is>
          <t>স্বাস্থ্য</t>
        </is>
      </c>
    </row>
    <row r="39" ht="15.75" customHeight="1" s="52">
      <c r="A39" s="102" t="n">
        <v>38</v>
      </c>
      <c r="B39" s="103" t="inlineStr">
        <is>
          <t>স্বাস্থ্য বীমা</t>
        </is>
      </c>
      <c r="C39" s="103" t="inlineStr">
        <is>
          <t>স্বাস্থ্য</t>
        </is>
      </c>
    </row>
    <row r="40" ht="15.75" customHeight="1" s="52">
      <c r="A40" s="102" t="n">
        <v>39</v>
      </c>
      <c r="B40" s="103" t="inlineStr">
        <is>
          <t>স্কুল / কলেজ ফি</t>
        </is>
      </c>
      <c r="C40" s="103" t="inlineStr">
        <is>
          <t>শিক্ষা</t>
        </is>
      </c>
    </row>
    <row r="41" ht="15.75" customHeight="1" s="52">
      <c r="A41" s="102" t="n">
        <v>40</v>
      </c>
      <c r="B41" s="103" t="inlineStr">
        <is>
          <t>প্রাইভেট / কোচিং</t>
        </is>
      </c>
      <c r="C41" s="103" t="inlineStr">
        <is>
          <t>শিক্ষা</t>
        </is>
      </c>
    </row>
    <row r="42" ht="15.75" customHeight="1" s="52">
      <c r="A42" s="102" t="n">
        <v>41</v>
      </c>
      <c r="B42" s="103" t="inlineStr">
        <is>
          <t>বই ও শিক্ষা উপকরণ</t>
        </is>
      </c>
      <c r="C42" s="103" t="inlineStr">
        <is>
          <t>শিক্ষা</t>
        </is>
      </c>
    </row>
    <row r="43" ht="15.75" customHeight="1" s="52">
      <c r="A43" s="102" t="n">
        <v>42</v>
      </c>
      <c r="B43" s="103" t="inlineStr">
        <is>
          <t>পরীক্ষার ফি</t>
        </is>
      </c>
      <c r="C43" s="103" t="inlineStr">
        <is>
          <t>শিক্ষা</t>
        </is>
      </c>
    </row>
    <row r="44" ht="15.75" customHeight="1" s="52">
      <c r="A44" s="102" t="n">
        <v>43</v>
      </c>
      <c r="B44" s="103" t="inlineStr">
        <is>
          <t>পোশাক ও জুতা</t>
        </is>
      </c>
      <c r="C44" s="103" t="inlineStr">
        <is>
          <t>ব্যক্তিগত ও গৃহস্থালি</t>
        </is>
      </c>
    </row>
    <row r="45" ht="15.75" customHeight="1" s="52">
      <c r="A45" s="102" t="n">
        <v>44</v>
      </c>
      <c r="B45" s="103" t="inlineStr">
        <is>
          <t>প্রসাধনী ও পরিচর্যা</t>
        </is>
      </c>
      <c r="C45" s="103" t="inlineStr">
        <is>
          <t>ব্যক্তিগত ও গৃহস্থালি</t>
        </is>
      </c>
    </row>
    <row r="46" ht="15.75" customHeight="1" s="52">
      <c r="A46" s="102" t="n">
        <v>45</v>
      </c>
      <c r="B46" s="103" t="inlineStr">
        <is>
          <t>সাবান ও ডিটারজেন্ট</t>
        </is>
      </c>
      <c r="C46" s="103" t="inlineStr">
        <is>
          <t>ব্যক্তিগত ও গৃহস্থালি</t>
        </is>
      </c>
    </row>
    <row r="47" ht="15.75" customHeight="1" s="52">
      <c r="A47" s="102" t="n">
        <v>46</v>
      </c>
      <c r="B47" s="103" t="inlineStr">
        <is>
          <t>গৃহস্থালি সামগ্রী</t>
        </is>
      </c>
      <c r="C47" s="103" t="inlineStr">
        <is>
          <t>ব্যক্তিগত ও গৃহস্থালি</t>
        </is>
      </c>
    </row>
    <row r="48" ht="15.75" customHeight="1" s="52">
      <c r="A48" s="102" t="n">
        <v>47</v>
      </c>
      <c r="B48" s="103" t="inlineStr">
        <is>
          <t>সেলুন / পার্লার</t>
        </is>
      </c>
      <c r="C48" s="103" t="inlineStr">
        <is>
          <t>ব্যক্তিগত ও গৃহস্থালি</t>
        </is>
      </c>
    </row>
    <row r="49" ht="15.75" customHeight="1" s="52">
      <c r="A49" s="102" t="n">
        <v>48</v>
      </c>
      <c r="B49" s="103" t="inlineStr">
        <is>
          <t>বিনোদন ও ঘোরাঘুরি</t>
        </is>
      </c>
      <c r="C49" s="103" t="inlineStr">
        <is>
          <t>অন্যান্য</t>
        </is>
      </c>
    </row>
    <row r="50" ht="15.75" customHeight="1" s="52">
      <c r="A50" s="102" t="n">
        <v>49</v>
      </c>
      <c r="B50" s="103" t="inlineStr">
        <is>
          <t>উপহার ও অনুষ্ঠান</t>
        </is>
      </c>
      <c r="C50" s="103" t="inlineStr">
        <is>
          <t>অন্যান্য</t>
        </is>
      </c>
    </row>
    <row r="51" ht="15.75" customHeight="1" s="52">
      <c r="A51" s="102" t="n">
        <v>50</v>
      </c>
      <c r="B51" s="103" t="inlineStr">
        <is>
          <t>দান ও যাকাত</t>
        </is>
      </c>
      <c r="C51" s="103" t="inlineStr">
        <is>
          <t>অন্যান্য</t>
        </is>
      </c>
    </row>
    <row r="52" ht="15.75" customHeight="1" s="52">
      <c r="A52" s="102" t="n">
        <v>51</v>
      </c>
      <c r="B52" s="103" t="inlineStr">
        <is>
          <t>সঞ্চয় ও বিনিয়োগ</t>
        </is>
      </c>
      <c r="C52" s="103" t="inlineStr">
        <is>
          <t>অন্যান্য</t>
        </is>
      </c>
    </row>
    <row r="53" ht="15.75" customHeight="1" s="52">
      <c r="A53" s="102" t="n">
        <v>52</v>
      </c>
      <c r="B53" s="103" t="inlineStr">
        <is>
          <t>ঋণ পরিশোধ / কিস্তি</t>
        </is>
      </c>
      <c r="C53" s="103" t="inlineStr">
        <is>
          <t>অন্যান্য</t>
        </is>
      </c>
    </row>
    <row r="54" ht="15.75" customHeight="1" s="52">
      <c r="A54" s="102" t="n">
        <v>53</v>
      </c>
      <c r="B54" s="103" t="inlineStr">
        <is>
          <t>বীমা প্রিমিয়াম</t>
        </is>
      </c>
      <c r="C54" s="103" t="inlineStr">
        <is>
          <t>অন্যান্য</t>
        </is>
      </c>
    </row>
    <row r="55" ht="15.75" customHeight="1" s="52">
      <c r="A55" s="102" t="n">
        <v>54</v>
      </c>
      <c r="B55" s="103" t="inlineStr">
        <is>
          <t>অন্যান্য খরচ</t>
        </is>
      </c>
      <c r="C55" s="103" t="inlineStr">
        <is>
          <t>অন্যান্য</t>
        </is>
      </c>
    </row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2E5C99"/>
    <outlinePr summaryBelow="1" summaryRight="1"/>
    <pageSetUpPr fitToPage="0"/>
  </sheetPr>
  <dimension ref="A1:K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3359375" defaultRowHeight="15" zeroHeight="0" outlineLevelRow="0"/>
  <cols>
    <col width="13" customWidth="1" style="51" min="1" max="1"/>
    <col width="34" customWidth="1" style="51" min="2" max="2"/>
    <col width="26" customWidth="1" style="51" min="3" max="3"/>
    <col width="24" customWidth="1" style="51" min="4" max="4"/>
    <col width="15" customWidth="1" style="51" min="5" max="5"/>
    <col width="20" customWidth="1" style="51" min="6" max="6"/>
    <col width="26" customWidth="1" style="51" min="7" max="7"/>
    <col width="3" customWidth="1" style="51" min="8" max="8"/>
    <col width="30" customWidth="1" style="51" min="9" max="9"/>
    <col width="17" customWidth="1" style="51" min="10" max="10"/>
    <col width="12" customWidth="1" style="51" min="11" max="11"/>
    <col width="8.710000000000001" customWidth="1" style="51" min="12" max="26"/>
  </cols>
  <sheetData>
    <row r="1" ht="25.5" customHeight="1" s="52">
      <c r="A1" s="104" t="inlineStr">
        <is>
          <t>দৈনিক খরচের হিসাব  —  জানুয়ারি ২০২৬</t>
        </is>
      </c>
      <c r="I1" s="105" t="inlineStr">
        <is>
          <t>মাসিক সারসংক্ষেপ</t>
        </is>
      </c>
    </row>
    <row r="2" ht="15.75" customHeight="1" s="52">
      <c r="A2" s="59" t="inlineStr">
        <is>
          <t>শুধু  তারিখ · বিবরণ · খাত · পরিমাণ · পেমেন্ট মাধ্যম · মন্তব্য  ঘরগুলো পূরণ করুন। ‘গ্রুপ’ কলাম স্বয়ংক্রিয়ভাবে পূরণ হবে।</t>
        </is>
      </c>
      <c r="I2" s="106" t="n"/>
    </row>
    <row r="3" ht="21.75" customHeight="1" s="52">
      <c r="A3" s="107" t="inlineStr">
        <is>
          <t>তারিখ</t>
        </is>
      </c>
      <c r="B3" s="107" t="inlineStr">
        <is>
          <t>বিবরণ</t>
        </is>
      </c>
      <c r="C3" s="107" t="inlineStr">
        <is>
          <t>খাত</t>
        </is>
      </c>
      <c r="D3" s="107" t="inlineStr">
        <is>
          <t>গ্রুপ</t>
        </is>
      </c>
      <c r="E3" s="107" t="inlineStr">
        <is>
          <t>পরিমাণ (৳)</t>
        </is>
      </c>
      <c r="F3" s="107" t="inlineStr">
        <is>
          <t>পেমেন্ট মাধ্যম</t>
        </is>
      </c>
      <c r="G3" s="107" t="inlineStr">
        <is>
          <t>মন্তব্য</t>
        </is>
      </c>
      <c r="I3" s="100" t="inlineStr">
        <is>
          <t>গ্রুপ (প্রধান খাত)</t>
        </is>
      </c>
      <c r="J3" s="100" t="inlineStr">
        <is>
          <t>মোট (৳)</t>
        </is>
      </c>
      <c r="K3" s="100" t="inlineStr">
        <is>
          <t>শতাংশ</t>
        </is>
      </c>
    </row>
    <row r="4" ht="15" customHeight="1" s="52">
      <c r="A4" s="108" t="n"/>
      <c r="B4" s="75" t="n"/>
      <c r="C4" s="75" t="n"/>
      <c r="D4" s="109">
        <f t="array" ref="D4:D4">IFERROR(INDEX(GroupLookup,MATCH(C4,CategoryList,0)),"")</f>
        <v/>
      </c>
      <c r="E4" s="110" t="n"/>
      <c r="F4" s="75" t="n"/>
      <c r="G4" s="75" t="n"/>
      <c r="I4" s="75" t="inlineStr">
        <is>
          <t>খাদ্য ও মুদি</t>
        </is>
      </c>
      <c r="J4" s="110">
        <f>SUMIF($D$4:$D$203,$I4,$E$4:$E$203)</f>
        <v/>
      </c>
      <c r="K4" s="111">
        <f>IFERROR($J4/$J$12,0)</f>
        <v/>
      </c>
    </row>
    <row r="5" ht="15" customHeight="1" s="52">
      <c r="A5" s="108" t="n"/>
      <c r="B5" s="75" t="n"/>
      <c r="C5" s="75" t="n"/>
      <c r="D5" s="109">
        <f t="array" ref="D5:D5">IFERROR(INDEX(GroupLookup,MATCH(C5,CategoryList,0)),"")</f>
        <v/>
      </c>
      <c r="E5" s="110" t="n"/>
      <c r="F5" s="75" t="n"/>
      <c r="G5" s="75" t="n"/>
      <c r="I5" s="76" t="inlineStr">
        <is>
          <t>বাসস্থান</t>
        </is>
      </c>
      <c r="J5" s="112">
        <f>SUMIF($D$4:$D$203,$I5,$E$4:$E$203)</f>
        <v/>
      </c>
      <c r="K5" s="113">
        <f>IFERROR($J5/$J$12,0)</f>
        <v/>
      </c>
    </row>
    <row r="6" ht="15" customHeight="1" s="52">
      <c r="A6" s="108" t="n"/>
      <c r="B6" s="75" t="n"/>
      <c r="C6" s="75" t="n"/>
      <c r="D6" s="109">
        <f t="array" ref="D6:D6">IFERROR(INDEX(GroupLookup,MATCH(C6,CategoryList,0)),"")</f>
        <v/>
      </c>
      <c r="E6" s="110" t="n"/>
      <c r="F6" s="75" t="n"/>
      <c r="G6" s="75" t="n"/>
      <c r="I6" s="75" t="inlineStr">
        <is>
          <t>ইউটিলিটি বিল</t>
        </is>
      </c>
      <c r="J6" s="110">
        <f>SUMIF($D$4:$D$203,$I6,$E$4:$E$203)</f>
        <v/>
      </c>
      <c r="K6" s="111">
        <f>IFERROR($J6/$J$12,0)</f>
        <v/>
      </c>
    </row>
    <row r="7" ht="15" customHeight="1" s="52">
      <c r="A7" s="108" t="n"/>
      <c r="B7" s="75" t="n"/>
      <c r="C7" s="75" t="n"/>
      <c r="D7" s="109">
        <f t="array" ref="D7:D7">IFERROR(INDEX(GroupLookup,MATCH(C7,CategoryList,0)),"")</f>
        <v/>
      </c>
      <c r="E7" s="110" t="n"/>
      <c r="F7" s="75" t="n"/>
      <c r="G7" s="75" t="n"/>
      <c r="I7" s="76" t="inlineStr">
        <is>
          <t>যাতায়াত</t>
        </is>
      </c>
      <c r="J7" s="112">
        <f>SUMIF($D$4:$D$203,$I7,$E$4:$E$203)</f>
        <v/>
      </c>
      <c r="K7" s="113">
        <f>IFERROR($J7/$J$12,0)</f>
        <v/>
      </c>
    </row>
    <row r="8" ht="15" customHeight="1" s="52">
      <c r="A8" s="108" t="n"/>
      <c r="B8" s="75" t="n"/>
      <c r="C8" s="75" t="n"/>
      <c r="D8" s="109">
        <f t="array" ref="D8:D8">IFERROR(INDEX(GroupLookup,MATCH(C8,CategoryList,0)),"")</f>
        <v/>
      </c>
      <c r="E8" s="110" t="n"/>
      <c r="F8" s="75" t="n"/>
      <c r="G8" s="75" t="n"/>
      <c r="I8" s="75" t="inlineStr">
        <is>
          <t>স্বাস্থ্য</t>
        </is>
      </c>
      <c r="J8" s="110">
        <f>SUMIF($D$4:$D$203,$I8,$E$4:$E$203)</f>
        <v/>
      </c>
      <c r="K8" s="111">
        <f>IFERROR($J8/$J$12,0)</f>
        <v/>
      </c>
    </row>
    <row r="9" ht="15" customHeight="1" s="52">
      <c r="A9" s="114" t="n"/>
      <c r="B9" s="76" t="n"/>
      <c r="C9" s="115" t="n"/>
      <c r="D9" s="109">
        <f t="array" ref="D9:D9">IFERROR(INDEX(GroupLookup,MATCH(C9,CategoryList,0)),"")</f>
        <v/>
      </c>
      <c r="E9" s="116" t="n"/>
      <c r="F9" s="76" t="n"/>
      <c r="G9" s="76" t="n"/>
      <c r="I9" s="76" t="inlineStr">
        <is>
          <t>শিক্ষা</t>
        </is>
      </c>
      <c r="J9" s="112">
        <f>SUMIF($D$4:$D$203,$I9,$E$4:$E$203)</f>
        <v/>
      </c>
      <c r="K9" s="113">
        <f>IFERROR($J9/$J$12,0)</f>
        <v/>
      </c>
    </row>
    <row r="10" ht="15" customHeight="1" s="52">
      <c r="A10" s="108" t="n"/>
      <c r="B10" s="75" t="n"/>
      <c r="C10" s="75" t="n"/>
      <c r="D10" s="109">
        <f t="array" ref="D10:D10">IFERROR(INDEX(GroupLookup,MATCH(C10,CategoryList,0)),"")</f>
        <v/>
      </c>
      <c r="E10" s="110" t="n"/>
      <c r="F10" s="75" t="n"/>
      <c r="G10" s="75" t="n"/>
      <c r="I10" s="75" t="inlineStr">
        <is>
          <t>ব্যক্তিগত ও গৃহস্থালি</t>
        </is>
      </c>
      <c r="J10" s="110">
        <f>SUMIF($D$4:$D$203,$I10,$E$4:$E$203)</f>
        <v/>
      </c>
      <c r="K10" s="111">
        <f>IFERROR($J10/$J$12,0)</f>
        <v/>
      </c>
    </row>
    <row r="11" ht="15" customHeight="1" s="52">
      <c r="A11" s="114" t="n"/>
      <c r="B11" s="76" t="n"/>
      <c r="C11" s="76" t="n"/>
      <c r="D11" s="109">
        <f t="array" ref="D11:D11">IFERROR(INDEX(GroupLookup,MATCH(C11,CategoryList,0)),"")</f>
        <v/>
      </c>
      <c r="E11" s="112" t="n"/>
      <c r="F11" s="76" t="n"/>
      <c r="G11" s="76" t="n"/>
      <c r="I11" s="76" t="inlineStr">
        <is>
          <t>অন্যান্য</t>
        </is>
      </c>
      <c r="J11" s="112">
        <f>SUMIF($D$4:$D$203,$I11,$E$4:$E$203)</f>
        <v/>
      </c>
      <c r="K11" s="113">
        <f>IFERROR($J11/$J$12,0)</f>
        <v/>
      </c>
    </row>
    <row r="12" ht="15" customHeight="1" s="52">
      <c r="A12" s="108" t="n"/>
      <c r="B12" s="75" t="n"/>
      <c r="C12" s="75" t="n"/>
      <c r="D12" s="109">
        <f t="array" ref="D12:D12">IFERROR(INDEX(GroupLookup,MATCH(C12,CategoryList,0)),"")</f>
        <v/>
      </c>
      <c r="E12" s="110" t="n"/>
      <c r="F12" s="75" t="n"/>
      <c r="G12" s="75" t="n"/>
      <c r="I12" s="72" t="inlineStr">
        <is>
          <t>মোট মাসিক ব্যয়</t>
        </is>
      </c>
      <c r="J12" s="117">
        <f>SUM($E$4:$E$203)</f>
        <v/>
      </c>
      <c r="K12" s="118">
        <f>IFERROR($J$12/$J$12,0)</f>
        <v/>
      </c>
    </row>
    <row r="13" ht="15" customHeight="1" s="52">
      <c r="A13" s="114" t="n"/>
      <c r="B13" s="76" t="n"/>
      <c r="C13" s="76" t="n"/>
      <c r="D13" s="109">
        <f t="array" ref="D13:D13">IFERROR(INDEX(GroupLookup,MATCH(C13,CategoryList,0)),"")</f>
        <v/>
      </c>
      <c r="E13" s="112" t="n"/>
      <c r="F13" s="76" t="n"/>
      <c r="G13" s="76" t="n"/>
      <c r="I13" s="74" t="inlineStr">
        <is>
          <t>শ্রেণিবিন্যাসহীন (খাত তালিকায় নেই)</t>
        </is>
      </c>
      <c r="J13" s="117">
        <f>$J$12-SUM($J$4:$J$11)</f>
        <v/>
      </c>
      <c r="K13" s="118">
        <f>IFERROR($J13/$J$12,0)</f>
        <v/>
      </c>
    </row>
    <row r="14" ht="25.5" customHeight="1" s="52">
      <c r="A14" s="108" t="n"/>
      <c r="B14" s="75" t="n"/>
      <c r="C14" s="75" t="n"/>
      <c r="D14" s="109">
        <f t="array" ref="D14:D14">IFERROR(INDEX(GroupLookup,MATCH(C14,CategoryList,0)),"")</f>
        <v/>
      </c>
      <c r="E14" s="110" t="n"/>
      <c r="F14" s="75" t="n"/>
      <c r="G14" s="75" t="n"/>
      <c r="I14" s="119" t="inlineStr">
        <is>
          <t>গুরুত্বপূর্ণ তথ্য</t>
        </is>
      </c>
    </row>
    <row r="15" ht="15" customHeight="1" s="52">
      <c r="A15" s="114" t="n"/>
      <c r="B15" s="76" t="n"/>
      <c r="C15" s="76" t="n"/>
      <c r="D15" s="109">
        <f t="array" ref="D15:D15">IFERROR(INDEX(GroupLookup,MATCH(C15,CategoryList,0)),"")</f>
        <v/>
      </c>
      <c r="E15" s="112" t="n"/>
      <c r="F15" s="76" t="n"/>
      <c r="G15" s="76" t="n"/>
      <c r="I15" s="67" t="inlineStr">
        <is>
          <t>মোট লেনদেন সংখ্যা</t>
        </is>
      </c>
      <c r="J15" s="120">
        <f>COUNT($E$4:$E$203)</f>
        <v/>
      </c>
      <c r="K15" s="62" t="n"/>
    </row>
    <row r="16" ht="15" customHeight="1" s="52">
      <c r="A16" s="108" t="n"/>
      <c r="B16" s="75" t="n"/>
      <c r="C16" s="75" t="n"/>
      <c r="D16" s="109">
        <f t="array" ref="D16:D16">IFERROR(INDEX(GroupLookup,MATCH(C16,CategoryList,0)),"")</f>
        <v/>
      </c>
      <c r="E16" s="110" t="n"/>
      <c r="F16" s="75" t="n"/>
      <c r="G16" s="75" t="n"/>
      <c r="I16" s="70" t="inlineStr">
        <is>
          <t>দৈনিক গড় খরচ</t>
        </is>
      </c>
      <c r="J16" s="121">
        <f>IFERROR($J$12/31,0)</f>
        <v/>
      </c>
      <c r="K16" s="62" t="n"/>
    </row>
    <row r="17" ht="15" customHeight="1" s="52">
      <c r="A17" s="114" t="n"/>
      <c r="B17" s="76" t="n"/>
      <c r="C17" s="76" t="n"/>
      <c r="D17" s="109">
        <f t="array" ref="D17:D17">IFERROR(INDEX(GroupLookup,MATCH(C17,CategoryList,0)),"")</f>
        <v/>
      </c>
      <c r="E17" s="112" t="n"/>
      <c r="F17" s="76" t="n"/>
      <c r="G17" s="76" t="n"/>
      <c r="I17" s="67" t="inlineStr">
        <is>
          <t>প্রতি লেনদেনে গড়</t>
        </is>
      </c>
      <c r="J17" s="122">
        <f>IFERROR($J$12/COUNT($E$4:$E$203),0)</f>
        <v/>
      </c>
      <c r="K17" s="62" t="n"/>
    </row>
    <row r="18" ht="15" customHeight="1" s="52">
      <c r="A18" s="108" t="n"/>
      <c r="B18" s="75" t="n"/>
      <c r="C18" s="75" t="n"/>
      <c r="D18" s="109">
        <f t="array" ref="D18:D18">IFERROR(INDEX(GroupLookup,MATCH(C18,CategoryList,0)),"")</f>
        <v/>
      </c>
      <c r="E18" s="110" t="n"/>
      <c r="F18" s="75" t="n"/>
      <c r="G18" s="75" t="n"/>
      <c r="I18" s="70" t="inlineStr">
        <is>
          <t>সর্বোচ্চ একক খরচ</t>
        </is>
      </c>
      <c r="J18" s="121">
        <f>IFERROR(MAX($E$4:$E$203),0)</f>
        <v/>
      </c>
      <c r="K18" s="62" t="n"/>
    </row>
    <row r="19" ht="15" customHeight="1" s="52">
      <c r="A19" s="114" t="n"/>
      <c r="B19" s="76" t="n"/>
      <c r="C19" s="76" t="n"/>
      <c r="D19" s="109">
        <f t="array" ref="D19:D19">IFERROR(INDEX(GroupLookup,MATCH(C19,CategoryList,0)),"")</f>
        <v/>
      </c>
      <c r="E19" s="112" t="n"/>
      <c r="F19" s="76" t="n"/>
      <c r="G19" s="76" t="n"/>
      <c r="I19" s="67" t="inlineStr">
        <is>
          <t>সর্বোচ্চ ব্যয়ের গ্রুপ</t>
        </is>
      </c>
      <c r="J19" s="123">
        <f t="array" ref="J19:J19">IF($J$12=0,"–",IFERROR(INDEX($I$4:$I$11,MATCH(MAX($J$4:$J$11),$J$4:$J$11,0)),"–"))</f>
        <v/>
      </c>
      <c r="K19" s="62" t="n"/>
    </row>
    <row r="20" ht="15" customHeight="1" s="52">
      <c r="A20" s="108" t="n"/>
      <c r="B20" s="75" t="n"/>
      <c r="C20" s="75" t="n"/>
      <c r="D20" s="109">
        <f t="array" ref="D20:D20">IFERROR(INDEX(GroupLookup,MATCH(C20,CategoryList,0)),"")</f>
        <v/>
      </c>
      <c r="E20" s="110" t="n"/>
      <c r="F20" s="75" t="n"/>
      <c r="G20" s="75" t="n"/>
      <c r="I20" s="70" t="inlineStr">
        <is>
          <t>সর্বোচ্চ ব্যয়ের খাত</t>
        </is>
      </c>
      <c r="J20" s="124">
        <f t="array" ref="J20:J20">IF($J$12=0,"–",IFERROR(INDEX($I$23:$I$76,MATCH(MAX($J$23:$J$76),$J$23:$J$76,0)),"–"))</f>
        <v/>
      </c>
      <c r="K20" s="62" t="n"/>
    </row>
    <row r="21" ht="25.5" customHeight="1" s="52">
      <c r="A21" s="114" t="n"/>
      <c r="B21" s="76" t="n"/>
      <c r="C21" s="76" t="n"/>
      <c r="D21" s="109">
        <f t="array" ref="D21:D21">IFERROR(INDEX(GroupLookup,MATCH(C21,CategoryList,0)),"")</f>
        <v/>
      </c>
      <c r="E21" s="112" t="n"/>
      <c r="F21" s="76" t="n"/>
      <c r="G21" s="76" t="n"/>
      <c r="I21" s="119" t="inlineStr">
        <is>
          <t>খাতভিত্তিক বিস্তারিত</t>
        </is>
      </c>
    </row>
    <row r="22" ht="15.75" customHeight="1" s="52">
      <c r="A22" s="108" t="n"/>
      <c r="B22" s="75" t="n"/>
      <c r="C22" s="75" t="n"/>
      <c r="D22" s="109">
        <f t="array" ref="D22:D22">IFERROR(INDEX(GroupLookup,MATCH(C22,CategoryList,0)),"")</f>
        <v/>
      </c>
      <c r="E22" s="110" t="n"/>
      <c r="F22" s="75" t="n"/>
      <c r="G22" s="75" t="n"/>
      <c r="I22" s="100" t="inlineStr">
        <is>
          <t>খাত</t>
        </is>
      </c>
      <c r="J22" s="100" t="inlineStr">
        <is>
          <t>মোট (৳)</t>
        </is>
      </c>
      <c r="K22" s="100" t="inlineStr">
        <is>
          <t>শতাংশ</t>
        </is>
      </c>
    </row>
    <row r="23" ht="15.75" customHeight="1" s="52">
      <c r="A23" s="114" t="n"/>
      <c r="B23" s="76" t="n"/>
      <c r="C23" s="76" t="n"/>
      <c r="D23" s="109">
        <f t="array" ref="D23:D23">IFERROR(INDEX(GroupLookup,MATCH(C23,CategoryList,0)),"")</f>
        <v/>
      </c>
      <c r="E23" s="112" t="n"/>
      <c r="F23" s="76" t="n"/>
      <c r="G23" s="76" t="n"/>
      <c r="I23" s="75" t="inlineStr">
        <is>
          <t>চাল</t>
        </is>
      </c>
      <c r="J23" s="110">
        <f>SUMIF($C$4:$C$203,$I23,$E$4:$E$203)</f>
        <v/>
      </c>
      <c r="K23" s="111">
        <f>IFERROR($J23/$J$12,0)</f>
        <v/>
      </c>
    </row>
    <row r="24" ht="15.75" customHeight="1" s="52">
      <c r="A24" s="108" t="n"/>
      <c r="B24" s="75" t="n"/>
      <c r="C24" s="75" t="n"/>
      <c r="D24" s="109">
        <f t="array" ref="D24:D24">IFERROR(INDEX(GroupLookup,MATCH(C24,CategoryList,0)),"")</f>
        <v/>
      </c>
      <c r="E24" s="110" t="n"/>
      <c r="F24" s="75" t="n"/>
      <c r="G24" s="75" t="n"/>
      <c r="I24" s="76" t="inlineStr">
        <is>
          <t>আটা ও ময়দা</t>
        </is>
      </c>
      <c r="J24" s="112">
        <f>SUMIF($C$4:$C$203,$I24,$E$4:$E$203)</f>
        <v/>
      </c>
      <c r="K24" s="113">
        <f>IFERROR($J24/$J$12,0)</f>
        <v/>
      </c>
    </row>
    <row r="25" ht="15.75" customHeight="1" s="52">
      <c r="A25" s="114" t="n"/>
      <c r="B25" s="76" t="n"/>
      <c r="C25" s="76" t="n"/>
      <c r="D25" s="109">
        <f t="array" ref="D25:D25">IFERROR(INDEX(GroupLookup,MATCH(C25,CategoryList,0)),"")</f>
        <v/>
      </c>
      <c r="E25" s="112" t="n"/>
      <c r="F25" s="76" t="n"/>
      <c r="G25" s="76" t="n"/>
      <c r="I25" s="75" t="inlineStr">
        <is>
          <t>ডাল</t>
        </is>
      </c>
      <c r="J25" s="110">
        <f>SUMIF($C$4:$C$203,$I25,$E$4:$E$203)</f>
        <v/>
      </c>
      <c r="K25" s="111">
        <f>IFERROR($J25/$J$12,0)</f>
        <v/>
      </c>
    </row>
    <row r="26" ht="15.75" customHeight="1" s="52">
      <c r="A26" s="108" t="n"/>
      <c r="B26" s="75" t="n"/>
      <c r="C26" s="75" t="n"/>
      <c r="D26" s="109">
        <f t="array" ref="D26:D26">IFERROR(INDEX(GroupLookup,MATCH(C26,CategoryList,0)),"")</f>
        <v/>
      </c>
      <c r="E26" s="110" t="n"/>
      <c r="F26" s="75" t="n"/>
      <c r="G26" s="75" t="n"/>
      <c r="I26" s="76" t="inlineStr">
        <is>
          <t>মাছ</t>
        </is>
      </c>
      <c r="J26" s="112">
        <f>SUMIF($C$4:$C$203,$I26,$E$4:$E$203)</f>
        <v/>
      </c>
      <c r="K26" s="113">
        <f>IFERROR($J26/$J$12,0)</f>
        <v/>
      </c>
    </row>
    <row r="27" ht="15.75" customHeight="1" s="52">
      <c r="A27" s="114" t="n"/>
      <c r="B27" s="76" t="n"/>
      <c r="C27" s="76" t="n"/>
      <c r="D27" s="109">
        <f t="array" ref="D27:D27">IFERROR(INDEX(GroupLookup,MATCH(C27,CategoryList,0)),"")</f>
        <v/>
      </c>
      <c r="E27" s="112" t="n"/>
      <c r="F27" s="76" t="n"/>
      <c r="G27" s="76" t="n"/>
      <c r="I27" s="75" t="inlineStr">
        <is>
          <t>মাংস</t>
        </is>
      </c>
      <c r="J27" s="110">
        <f>SUMIF($C$4:$C$203,$I27,$E$4:$E$203)</f>
        <v/>
      </c>
      <c r="K27" s="111">
        <f>IFERROR($J27/$J$12,0)</f>
        <v/>
      </c>
    </row>
    <row r="28" ht="15.75" customHeight="1" s="52">
      <c r="A28" s="108" t="n"/>
      <c r="B28" s="75" t="n"/>
      <c r="C28" s="75" t="n"/>
      <c r="D28" s="109">
        <f t="array" ref="D28:D28">IFERROR(INDEX(GroupLookup,MATCH(C28,CategoryList,0)),"")</f>
        <v/>
      </c>
      <c r="E28" s="110" t="n"/>
      <c r="F28" s="75" t="n"/>
      <c r="G28" s="75" t="n"/>
      <c r="I28" s="76" t="inlineStr">
        <is>
          <t>ডিম</t>
        </is>
      </c>
      <c r="J28" s="112">
        <f>SUMIF($C$4:$C$203,$I28,$E$4:$E$203)</f>
        <v/>
      </c>
      <c r="K28" s="113">
        <f>IFERROR($J28/$J$12,0)</f>
        <v/>
      </c>
    </row>
    <row r="29" ht="15.75" customHeight="1" s="52">
      <c r="A29" s="114" t="n"/>
      <c r="B29" s="76" t="n"/>
      <c r="C29" s="76" t="n"/>
      <c r="D29" s="109">
        <f t="array" ref="D29:D29">IFERROR(INDEX(GroupLookup,MATCH(C29,CategoryList,0)),"")</f>
        <v/>
      </c>
      <c r="E29" s="112" t="n"/>
      <c r="F29" s="76" t="n"/>
      <c r="G29" s="76" t="n"/>
      <c r="I29" s="75" t="inlineStr">
        <is>
          <t>দুধ ও দুগ্ধজাত পণ্য</t>
        </is>
      </c>
      <c r="J29" s="110">
        <f>SUMIF($C$4:$C$203,$I29,$E$4:$E$203)</f>
        <v/>
      </c>
      <c r="K29" s="111">
        <f>IFERROR($J29/$J$12,0)</f>
        <v/>
      </c>
    </row>
    <row r="30" ht="15.75" customHeight="1" s="52">
      <c r="A30" s="108" t="n"/>
      <c r="B30" s="75" t="n"/>
      <c r="C30" s="75" t="n"/>
      <c r="D30" s="109">
        <f t="array" ref="D30:D30">IFERROR(INDEX(GroupLookup,MATCH(C30,CategoryList,0)),"")</f>
        <v/>
      </c>
      <c r="E30" s="110" t="n"/>
      <c r="F30" s="75" t="n"/>
      <c r="G30" s="75" t="n"/>
      <c r="I30" s="76" t="inlineStr">
        <is>
          <t>ভোজ্য তেল</t>
        </is>
      </c>
      <c r="J30" s="112">
        <f>SUMIF($C$4:$C$203,$I30,$E$4:$E$203)</f>
        <v/>
      </c>
      <c r="K30" s="113">
        <f>IFERROR($J30/$J$12,0)</f>
        <v/>
      </c>
    </row>
    <row r="31" ht="15.75" customHeight="1" s="52">
      <c r="A31" s="114" t="n"/>
      <c r="B31" s="76" t="n"/>
      <c r="C31" s="76" t="n"/>
      <c r="D31" s="109">
        <f t="array" ref="D31:D31">IFERROR(INDEX(GroupLookup,MATCH(C31,CategoryList,0)),"")</f>
        <v/>
      </c>
      <c r="E31" s="112" t="n"/>
      <c r="F31" s="76" t="n"/>
      <c r="G31" s="76" t="n"/>
      <c r="I31" s="75" t="inlineStr">
        <is>
          <t>শাক-সবজি</t>
        </is>
      </c>
      <c r="J31" s="110">
        <f>SUMIF($C$4:$C$203,$I31,$E$4:$E$203)</f>
        <v/>
      </c>
      <c r="K31" s="111">
        <f>IFERROR($J31/$J$12,0)</f>
        <v/>
      </c>
    </row>
    <row r="32" ht="15.75" customHeight="1" s="52">
      <c r="A32" s="108" t="n"/>
      <c r="B32" s="75" t="n"/>
      <c r="C32" s="75" t="n"/>
      <c r="D32" s="109">
        <f t="array" ref="D32:D32">IFERROR(INDEX(GroupLookup,MATCH(C32,CategoryList,0)),"")</f>
        <v/>
      </c>
      <c r="E32" s="110" t="n"/>
      <c r="F32" s="75" t="n"/>
      <c r="G32" s="75" t="n"/>
      <c r="I32" s="76" t="inlineStr">
        <is>
          <t>ফলমূল</t>
        </is>
      </c>
      <c r="J32" s="112">
        <f>SUMIF($C$4:$C$203,$I32,$E$4:$E$203)</f>
        <v/>
      </c>
      <c r="K32" s="113">
        <f>IFERROR($J32/$J$12,0)</f>
        <v/>
      </c>
    </row>
    <row r="33" ht="15.75" customHeight="1" s="52">
      <c r="A33" s="114" t="n"/>
      <c r="B33" s="76" t="n"/>
      <c r="C33" s="76" t="n"/>
      <c r="D33" s="109">
        <f t="array" ref="D33:D33">IFERROR(INDEX(GroupLookup,MATCH(C33,CategoryList,0)),"")</f>
        <v/>
      </c>
      <c r="E33" s="112" t="n"/>
      <c r="F33" s="76" t="n"/>
      <c r="G33" s="76" t="n"/>
      <c r="I33" s="75" t="inlineStr">
        <is>
          <t>মসলা</t>
        </is>
      </c>
      <c r="J33" s="110">
        <f>SUMIF($C$4:$C$203,$I33,$E$4:$E$203)</f>
        <v/>
      </c>
      <c r="K33" s="111">
        <f>IFERROR($J33/$J$12,0)</f>
        <v/>
      </c>
    </row>
    <row r="34" ht="15.75" customHeight="1" s="52">
      <c r="A34" s="108" t="n"/>
      <c r="B34" s="75" t="n"/>
      <c r="C34" s="75" t="n"/>
      <c r="D34" s="109">
        <f t="array" ref="D34:D34">IFERROR(INDEX(GroupLookup,MATCH(C34,CategoryList,0)),"")</f>
        <v/>
      </c>
      <c r="E34" s="110" t="n"/>
      <c r="F34" s="75" t="n"/>
      <c r="G34" s="75" t="n"/>
      <c r="I34" s="76" t="inlineStr">
        <is>
          <t>চিনি ও লবণ</t>
        </is>
      </c>
      <c r="J34" s="112">
        <f>SUMIF($C$4:$C$203,$I34,$E$4:$E$203)</f>
        <v/>
      </c>
      <c r="K34" s="113">
        <f>IFERROR($J34/$J$12,0)</f>
        <v/>
      </c>
    </row>
    <row r="35" ht="15.75" customHeight="1" s="52">
      <c r="A35" s="114" t="n"/>
      <c r="B35" s="76" t="n"/>
      <c r="C35" s="76" t="n"/>
      <c r="D35" s="109">
        <f t="array" ref="D35:D35">IFERROR(INDEX(GroupLookup,MATCH(C35,CategoryList,0)),"")</f>
        <v/>
      </c>
      <c r="E35" s="112" t="n"/>
      <c r="F35" s="76" t="n"/>
      <c r="G35" s="76" t="n"/>
      <c r="I35" s="75" t="inlineStr">
        <is>
          <t>চা ও কফি</t>
        </is>
      </c>
      <c r="J35" s="110">
        <f>SUMIF($C$4:$C$203,$I35,$E$4:$E$203)</f>
        <v/>
      </c>
      <c r="K35" s="111">
        <f>IFERROR($J35/$J$12,0)</f>
        <v/>
      </c>
    </row>
    <row r="36" ht="15.75" customHeight="1" s="52">
      <c r="A36" s="108" t="n"/>
      <c r="B36" s="75" t="n"/>
      <c r="C36" s="75" t="n"/>
      <c r="D36" s="109">
        <f t="array" ref="D36:D36">IFERROR(INDEX(GroupLookup,MATCH(C36,CategoryList,0)),"")</f>
        <v/>
      </c>
      <c r="E36" s="110" t="n"/>
      <c r="F36" s="75" t="n"/>
      <c r="G36" s="75" t="n"/>
      <c r="I36" s="76" t="inlineStr">
        <is>
          <t>নাশতা ও বেকারি</t>
        </is>
      </c>
      <c r="J36" s="112">
        <f>SUMIF($C$4:$C$203,$I36,$E$4:$E$203)</f>
        <v/>
      </c>
      <c r="K36" s="113">
        <f>IFERROR($J36/$J$12,0)</f>
        <v/>
      </c>
    </row>
    <row r="37" ht="15.75" customHeight="1" s="52">
      <c r="A37" s="114" t="n"/>
      <c r="B37" s="76" t="n"/>
      <c r="C37" s="76" t="n"/>
      <c r="D37" s="109">
        <f t="array" ref="D37:D37">IFERROR(INDEX(GroupLookup,MATCH(C37,CategoryList,0)),"")</f>
        <v/>
      </c>
      <c r="E37" s="112" t="n"/>
      <c r="F37" s="76" t="n"/>
      <c r="G37" s="76" t="n"/>
      <c r="I37" s="75" t="inlineStr">
        <is>
          <t>বাইরে খাওয়া / রেস্তোরাঁ</t>
        </is>
      </c>
      <c r="J37" s="110">
        <f>SUMIF($C$4:$C$203,$I37,$E$4:$E$203)</f>
        <v/>
      </c>
      <c r="K37" s="111">
        <f>IFERROR($J37/$J$12,0)</f>
        <v/>
      </c>
    </row>
    <row r="38" ht="15.75" customHeight="1" s="52">
      <c r="A38" s="108" t="n"/>
      <c r="B38" s="75" t="n"/>
      <c r="C38" s="75" t="n"/>
      <c r="D38" s="109">
        <f t="array" ref="D38:D38">IFERROR(INDEX(GroupLookup,MATCH(C38,CategoryList,0)),"")</f>
        <v/>
      </c>
      <c r="E38" s="110" t="n"/>
      <c r="F38" s="75" t="n"/>
      <c r="G38" s="75" t="n"/>
      <c r="I38" s="76" t="inlineStr">
        <is>
          <t>বাড়ি ভাড়া</t>
        </is>
      </c>
      <c r="J38" s="112">
        <f>SUMIF($C$4:$C$203,$I38,$E$4:$E$203)</f>
        <v/>
      </c>
      <c r="K38" s="113">
        <f>IFERROR($J38/$J$12,0)</f>
        <v/>
      </c>
    </row>
    <row r="39" ht="15.75" customHeight="1" s="52">
      <c r="A39" s="114" t="n"/>
      <c r="B39" s="76" t="n"/>
      <c r="C39" s="76" t="n"/>
      <c r="D39" s="109">
        <f t="array" ref="D39:D39">IFERROR(INDEX(GroupLookup,MATCH(C39,CategoryList,0)),"")</f>
        <v/>
      </c>
      <c r="E39" s="112" t="n"/>
      <c r="F39" s="76" t="n"/>
      <c r="G39" s="76" t="n"/>
      <c r="I39" s="75" t="inlineStr">
        <is>
          <t>সার্ভিস চার্জ</t>
        </is>
      </c>
      <c r="J39" s="110">
        <f>SUMIF($C$4:$C$203,$I39,$E$4:$E$203)</f>
        <v/>
      </c>
      <c r="K39" s="111">
        <f>IFERROR($J39/$J$12,0)</f>
        <v/>
      </c>
    </row>
    <row r="40" ht="15.75" customHeight="1" s="52">
      <c r="A40" s="108" t="n"/>
      <c r="B40" s="75" t="n"/>
      <c r="C40" s="75" t="n"/>
      <c r="D40" s="109">
        <f t="array" ref="D40:D40">IFERROR(INDEX(GroupLookup,MATCH(C40,CategoryList,0)),"")</f>
        <v/>
      </c>
      <c r="E40" s="110" t="n"/>
      <c r="F40" s="75" t="n"/>
      <c r="G40" s="75" t="n"/>
      <c r="I40" s="76" t="inlineStr">
        <is>
          <t>বাড়ি মেরামত ও রক্ষণাবেক্ষণ</t>
        </is>
      </c>
      <c r="J40" s="112">
        <f>SUMIF($C$4:$C$203,$I40,$E$4:$E$203)</f>
        <v/>
      </c>
      <c r="K40" s="113">
        <f>IFERROR($J40/$J$12,0)</f>
        <v/>
      </c>
    </row>
    <row r="41" ht="15.75" customHeight="1" s="52">
      <c r="A41" s="114" t="n"/>
      <c r="B41" s="76" t="n"/>
      <c r="C41" s="76" t="n"/>
      <c r="D41" s="109">
        <f t="array" ref="D41:D41">IFERROR(INDEX(GroupLookup,MATCH(C41,CategoryList,0)),"")</f>
        <v/>
      </c>
      <c r="E41" s="112" t="n"/>
      <c r="F41" s="76" t="n"/>
      <c r="G41" s="76" t="n"/>
      <c r="I41" s="75" t="inlineStr">
        <is>
          <t>গৃহকর্মীর বেতন</t>
        </is>
      </c>
      <c r="J41" s="110">
        <f>SUMIF($C$4:$C$203,$I41,$E$4:$E$203)</f>
        <v/>
      </c>
      <c r="K41" s="111">
        <f>IFERROR($J41/$J$12,0)</f>
        <v/>
      </c>
    </row>
    <row r="42" ht="15.75" customHeight="1" s="52">
      <c r="A42" s="108" t="n"/>
      <c r="B42" s="75" t="n"/>
      <c r="C42" s="75" t="n"/>
      <c r="D42" s="109">
        <f t="array" ref="D42:D42">IFERROR(INDEX(GroupLookup,MATCH(C42,CategoryList,0)),"")</f>
        <v/>
      </c>
      <c r="E42" s="110" t="n"/>
      <c r="F42" s="75" t="n"/>
      <c r="G42" s="75" t="n"/>
      <c r="I42" s="76" t="inlineStr">
        <is>
          <t>আসবাবপত্র</t>
        </is>
      </c>
      <c r="J42" s="112">
        <f>SUMIF($C$4:$C$203,$I42,$E$4:$E$203)</f>
        <v/>
      </c>
      <c r="K42" s="113">
        <f>IFERROR($J42/$J$12,0)</f>
        <v/>
      </c>
    </row>
    <row r="43" ht="15.75" customHeight="1" s="52">
      <c r="A43" s="114" t="n"/>
      <c r="B43" s="76" t="n"/>
      <c r="C43" s="76" t="n"/>
      <c r="D43" s="109">
        <f t="array" ref="D43:D43">IFERROR(INDEX(GroupLookup,MATCH(C43,CategoryList,0)),"")</f>
        <v/>
      </c>
      <c r="E43" s="112" t="n"/>
      <c r="F43" s="76" t="n"/>
      <c r="G43" s="76" t="n"/>
      <c r="I43" s="75" t="inlineStr">
        <is>
          <t>বিদ্যুৎ বিল</t>
        </is>
      </c>
      <c r="J43" s="110">
        <f>SUMIF($C$4:$C$203,$I43,$E$4:$E$203)</f>
        <v/>
      </c>
      <c r="K43" s="111">
        <f>IFERROR($J43/$J$12,0)</f>
        <v/>
      </c>
    </row>
    <row r="44" ht="15.75" customHeight="1" s="52">
      <c r="A44" s="108" t="n"/>
      <c r="B44" s="75" t="n"/>
      <c r="C44" s="75" t="n"/>
      <c r="D44" s="109">
        <f t="array" ref="D44:D44">IFERROR(INDEX(GroupLookup,MATCH(C44,CategoryList,0)),"")</f>
        <v/>
      </c>
      <c r="E44" s="110" t="n"/>
      <c r="F44" s="75" t="n"/>
      <c r="G44" s="75" t="n"/>
      <c r="I44" s="76" t="inlineStr">
        <is>
          <t>গ্যাস বিল</t>
        </is>
      </c>
      <c r="J44" s="112">
        <f>SUMIF($C$4:$C$203,$I44,$E$4:$E$203)</f>
        <v/>
      </c>
      <c r="K44" s="113">
        <f>IFERROR($J44/$J$12,0)</f>
        <v/>
      </c>
    </row>
    <row r="45" ht="15.75" customHeight="1" s="52">
      <c r="A45" s="114" t="n"/>
      <c r="B45" s="76" t="n"/>
      <c r="C45" s="76" t="n"/>
      <c r="D45" s="109">
        <f t="array" ref="D45:D45">IFERROR(INDEX(GroupLookup,MATCH(C45,CategoryList,0)),"")</f>
        <v/>
      </c>
      <c r="E45" s="112" t="n"/>
      <c r="F45" s="76" t="n"/>
      <c r="G45" s="76" t="n"/>
      <c r="I45" s="75" t="inlineStr">
        <is>
          <t>পানির বিল</t>
        </is>
      </c>
      <c r="J45" s="110">
        <f>SUMIF($C$4:$C$203,$I45,$E$4:$E$203)</f>
        <v/>
      </c>
      <c r="K45" s="111">
        <f>IFERROR($J45/$J$12,0)</f>
        <v/>
      </c>
    </row>
    <row r="46" ht="15.75" customHeight="1" s="52">
      <c r="A46" s="108" t="n"/>
      <c r="B46" s="75" t="n"/>
      <c r="C46" s="75" t="n"/>
      <c r="D46" s="109">
        <f t="array" ref="D46:D46">IFERROR(INDEX(GroupLookup,MATCH(C46,CategoryList,0)),"")</f>
        <v/>
      </c>
      <c r="E46" s="110" t="n"/>
      <c r="F46" s="75" t="n"/>
      <c r="G46" s="75" t="n"/>
      <c r="I46" s="76" t="inlineStr">
        <is>
          <t>ইন্টারনেট বিল</t>
        </is>
      </c>
      <c r="J46" s="112">
        <f>SUMIF($C$4:$C$203,$I46,$E$4:$E$203)</f>
        <v/>
      </c>
      <c r="K46" s="113">
        <f>IFERROR($J46/$J$12,0)</f>
        <v/>
      </c>
    </row>
    <row r="47" ht="15.75" customHeight="1" s="52">
      <c r="A47" s="114" t="n"/>
      <c r="B47" s="76" t="n"/>
      <c r="C47" s="76" t="n"/>
      <c r="D47" s="109">
        <f t="array" ref="D47:D47">IFERROR(INDEX(GroupLookup,MATCH(C47,CategoryList,0)),"")</f>
        <v/>
      </c>
      <c r="E47" s="112" t="n"/>
      <c r="F47" s="76" t="n"/>
      <c r="G47" s="76" t="n"/>
      <c r="I47" s="75" t="inlineStr">
        <is>
          <t>মোবাইল রিচার্জ</t>
        </is>
      </c>
      <c r="J47" s="110">
        <f>SUMIF($C$4:$C$203,$I47,$E$4:$E$203)</f>
        <v/>
      </c>
      <c r="K47" s="111">
        <f>IFERROR($J47/$J$12,0)</f>
        <v/>
      </c>
    </row>
    <row r="48" ht="15.75" customHeight="1" s="52">
      <c r="A48" s="108" t="n"/>
      <c r="B48" s="75" t="n"/>
      <c r="C48" s="75" t="n"/>
      <c r="D48" s="109">
        <f t="array" ref="D48:D48">IFERROR(INDEX(GroupLookup,MATCH(C48,CategoryList,0)),"")</f>
        <v/>
      </c>
      <c r="E48" s="110" t="n"/>
      <c r="F48" s="75" t="n"/>
      <c r="G48" s="75" t="n"/>
      <c r="I48" s="76" t="inlineStr">
        <is>
          <t>ডিশ / ক্যাবল বিল</t>
        </is>
      </c>
      <c r="J48" s="112">
        <f>SUMIF($C$4:$C$203,$I48,$E$4:$E$203)</f>
        <v/>
      </c>
      <c r="K48" s="113">
        <f>IFERROR($J48/$J$12,0)</f>
        <v/>
      </c>
    </row>
    <row r="49" ht="15.75" customHeight="1" s="52">
      <c r="A49" s="114" t="n"/>
      <c r="B49" s="76" t="n"/>
      <c r="C49" s="76" t="n"/>
      <c r="D49" s="109">
        <f t="array" ref="D49:D49">IFERROR(INDEX(GroupLookup,MATCH(C49,CategoryList,0)),"")</f>
        <v/>
      </c>
      <c r="E49" s="112" t="n"/>
      <c r="F49" s="76" t="n"/>
      <c r="G49" s="76" t="n"/>
      <c r="I49" s="75" t="inlineStr">
        <is>
          <t>পৌর কর ও হোল্ডিং ট্যাক্স</t>
        </is>
      </c>
      <c r="J49" s="110">
        <f>SUMIF($C$4:$C$203,$I49,$E$4:$E$203)</f>
        <v/>
      </c>
      <c r="K49" s="111">
        <f>IFERROR($J49/$J$12,0)</f>
        <v/>
      </c>
    </row>
    <row r="50" ht="15.75" customHeight="1" s="52">
      <c r="A50" s="108" t="n"/>
      <c r="B50" s="75" t="n"/>
      <c r="C50" s="75" t="n"/>
      <c r="D50" s="109">
        <f t="array" ref="D50:D50">IFERROR(INDEX(GroupLookup,MATCH(C50,CategoryList,0)),"")</f>
        <v/>
      </c>
      <c r="E50" s="110" t="n"/>
      <c r="F50" s="75" t="n"/>
      <c r="G50" s="75" t="n"/>
      <c r="I50" s="76" t="inlineStr">
        <is>
          <t>ময়লা ও পরিচ্ছন্নতা বিল</t>
        </is>
      </c>
      <c r="J50" s="112">
        <f>SUMIF($C$4:$C$203,$I50,$E$4:$E$203)</f>
        <v/>
      </c>
      <c r="K50" s="113">
        <f>IFERROR($J50/$J$12,0)</f>
        <v/>
      </c>
    </row>
    <row r="51" ht="15.75" customHeight="1" s="52">
      <c r="A51" s="114" t="n"/>
      <c r="B51" s="76" t="n"/>
      <c r="C51" s="76" t="n"/>
      <c r="D51" s="109">
        <f t="array" ref="D51:D51">IFERROR(INDEX(GroupLookup,MATCH(C51,CategoryList,0)),"")</f>
        <v/>
      </c>
      <c r="E51" s="112" t="n"/>
      <c r="F51" s="76" t="n"/>
      <c r="G51" s="76" t="n"/>
      <c r="I51" s="75" t="inlineStr">
        <is>
          <t>রিকশা / সিএনজি</t>
        </is>
      </c>
      <c r="J51" s="110">
        <f>SUMIF($C$4:$C$203,$I51,$E$4:$E$203)</f>
        <v/>
      </c>
      <c r="K51" s="111">
        <f>IFERROR($J51/$J$12,0)</f>
        <v/>
      </c>
    </row>
    <row r="52" ht="15.75" customHeight="1" s="52">
      <c r="A52" s="108" t="n"/>
      <c r="B52" s="75" t="n"/>
      <c r="C52" s="75" t="n"/>
      <c r="D52" s="109">
        <f t="array" ref="D52:D52">IFERROR(INDEX(GroupLookup,MATCH(C52,CategoryList,0)),"")</f>
        <v/>
      </c>
      <c r="E52" s="110" t="n"/>
      <c r="F52" s="75" t="n"/>
      <c r="G52" s="75" t="n"/>
      <c r="I52" s="76" t="inlineStr">
        <is>
          <t>বাস / ট্রেন / লঞ্চ ভাড়া</t>
        </is>
      </c>
      <c r="J52" s="112">
        <f>SUMIF($C$4:$C$203,$I52,$E$4:$E$203)</f>
        <v/>
      </c>
      <c r="K52" s="113">
        <f>IFERROR($J52/$J$12,0)</f>
        <v/>
      </c>
    </row>
    <row r="53" ht="15.75" customHeight="1" s="52">
      <c r="A53" s="114" t="n"/>
      <c r="B53" s="76" t="n"/>
      <c r="C53" s="76" t="n"/>
      <c r="D53" s="109">
        <f t="array" ref="D53:D53">IFERROR(INDEX(GroupLookup,MATCH(C53,CategoryList,0)),"")</f>
        <v/>
      </c>
      <c r="E53" s="112" t="n"/>
      <c r="F53" s="76" t="n"/>
      <c r="G53" s="76" t="n"/>
      <c r="I53" s="75" t="inlineStr">
        <is>
          <t>রাইড শেয়ারিং</t>
        </is>
      </c>
      <c r="J53" s="110">
        <f>SUMIF($C$4:$C$203,$I53,$E$4:$E$203)</f>
        <v/>
      </c>
      <c r="K53" s="111">
        <f>IFERROR($J53/$J$12,0)</f>
        <v/>
      </c>
    </row>
    <row r="54" ht="15.75" customHeight="1" s="52">
      <c r="A54" s="108" t="n"/>
      <c r="B54" s="75" t="n"/>
      <c r="C54" s="75" t="n"/>
      <c r="D54" s="109">
        <f t="array" ref="D54:D54">IFERROR(INDEX(GroupLookup,MATCH(C54,CategoryList,0)),"")</f>
        <v/>
      </c>
      <c r="E54" s="110" t="n"/>
      <c r="F54" s="75" t="n"/>
      <c r="G54" s="75" t="n"/>
      <c r="I54" s="76" t="inlineStr">
        <is>
          <t>জ্বালানি (পেট্রোল / ডিজেল)</t>
        </is>
      </c>
      <c r="J54" s="112">
        <f>SUMIF($C$4:$C$203,$I54,$E$4:$E$203)</f>
        <v/>
      </c>
      <c r="K54" s="113">
        <f>IFERROR($J54/$J$12,0)</f>
        <v/>
      </c>
    </row>
    <row r="55" ht="15.75" customHeight="1" s="52">
      <c r="A55" s="114" t="n"/>
      <c r="B55" s="76" t="n"/>
      <c r="C55" s="76" t="n"/>
      <c r="D55" s="109">
        <f t="array" ref="D55:D55">IFERROR(INDEX(GroupLookup,MATCH(C55,CategoryList,0)),"")</f>
        <v/>
      </c>
      <c r="E55" s="112" t="n"/>
      <c r="F55" s="76" t="n"/>
      <c r="G55" s="76" t="n"/>
      <c r="I55" s="75" t="inlineStr">
        <is>
          <t>গাড়ি / বাইক রক্ষণাবেক্ষণ</t>
        </is>
      </c>
      <c r="J55" s="110">
        <f>SUMIF($C$4:$C$203,$I55,$E$4:$E$203)</f>
        <v/>
      </c>
      <c r="K55" s="111">
        <f>IFERROR($J55/$J$12,0)</f>
        <v/>
      </c>
    </row>
    <row r="56" ht="15.75" customHeight="1" s="52">
      <c r="A56" s="108" t="n"/>
      <c r="B56" s="75" t="n"/>
      <c r="C56" s="75" t="n"/>
      <c r="D56" s="109">
        <f t="array" ref="D56:D56">IFERROR(INDEX(GroupLookup,MATCH(C56,CategoryList,0)),"")</f>
        <v/>
      </c>
      <c r="E56" s="110" t="n"/>
      <c r="F56" s="75" t="n"/>
      <c r="G56" s="75" t="n"/>
      <c r="I56" s="76" t="inlineStr">
        <is>
          <t>পার্কিং ও টোল</t>
        </is>
      </c>
      <c r="J56" s="112">
        <f>SUMIF($C$4:$C$203,$I56,$E$4:$E$203)</f>
        <v/>
      </c>
      <c r="K56" s="113">
        <f>IFERROR($J56/$J$12,0)</f>
        <v/>
      </c>
    </row>
    <row r="57" ht="15.75" customHeight="1" s="52">
      <c r="A57" s="114" t="n"/>
      <c r="B57" s="76" t="n"/>
      <c r="C57" s="76" t="n"/>
      <c r="D57" s="109">
        <f t="array" ref="D57:D57">IFERROR(INDEX(GroupLookup,MATCH(C57,CategoryList,0)),"")</f>
        <v/>
      </c>
      <c r="E57" s="112" t="n"/>
      <c r="F57" s="76" t="n"/>
      <c r="G57" s="76" t="n"/>
      <c r="I57" s="75" t="inlineStr">
        <is>
          <t>ওষুধ</t>
        </is>
      </c>
      <c r="J57" s="110">
        <f>SUMIF($C$4:$C$203,$I57,$E$4:$E$203)</f>
        <v/>
      </c>
      <c r="K57" s="111">
        <f>IFERROR($J57/$J$12,0)</f>
        <v/>
      </c>
    </row>
    <row r="58" ht="15.75" customHeight="1" s="52">
      <c r="A58" s="108" t="n"/>
      <c r="B58" s="75" t="n"/>
      <c r="C58" s="75" t="n"/>
      <c r="D58" s="109">
        <f t="array" ref="D58:D58">IFERROR(INDEX(GroupLookup,MATCH(C58,CategoryList,0)),"")</f>
        <v/>
      </c>
      <c r="E58" s="110" t="n"/>
      <c r="F58" s="75" t="n"/>
      <c r="G58" s="75" t="n"/>
      <c r="I58" s="76" t="inlineStr">
        <is>
          <t>ডাক্তারের ফি</t>
        </is>
      </c>
      <c r="J58" s="112">
        <f>SUMIF($C$4:$C$203,$I58,$E$4:$E$203)</f>
        <v/>
      </c>
      <c r="K58" s="113">
        <f>IFERROR($J58/$J$12,0)</f>
        <v/>
      </c>
    </row>
    <row r="59" ht="15.75" customHeight="1" s="52">
      <c r="A59" s="114" t="n"/>
      <c r="B59" s="76" t="n"/>
      <c r="C59" s="76" t="n"/>
      <c r="D59" s="109">
        <f t="array" ref="D59:D59">IFERROR(INDEX(GroupLookup,MATCH(C59,CategoryList,0)),"")</f>
        <v/>
      </c>
      <c r="E59" s="112" t="n"/>
      <c r="F59" s="76" t="n"/>
      <c r="G59" s="76" t="n"/>
      <c r="I59" s="75" t="inlineStr">
        <is>
          <t>চিকিৎসা পরীক্ষা</t>
        </is>
      </c>
      <c r="J59" s="110">
        <f>SUMIF($C$4:$C$203,$I59,$E$4:$E$203)</f>
        <v/>
      </c>
      <c r="K59" s="111">
        <f>IFERROR($J59/$J$12,0)</f>
        <v/>
      </c>
    </row>
    <row r="60" ht="15.75" customHeight="1" s="52">
      <c r="A60" s="108" t="n"/>
      <c r="B60" s="75" t="n"/>
      <c r="C60" s="75" t="n"/>
      <c r="D60" s="109">
        <f t="array" ref="D60:D60">IFERROR(INDEX(GroupLookup,MATCH(C60,CategoryList,0)),"")</f>
        <v/>
      </c>
      <c r="E60" s="110" t="n"/>
      <c r="F60" s="75" t="n"/>
      <c r="G60" s="75" t="n"/>
      <c r="I60" s="76" t="inlineStr">
        <is>
          <t>স্বাস্থ্য বীমা</t>
        </is>
      </c>
      <c r="J60" s="112">
        <f>SUMIF($C$4:$C$203,$I60,$E$4:$E$203)</f>
        <v/>
      </c>
      <c r="K60" s="113">
        <f>IFERROR($J60/$J$12,0)</f>
        <v/>
      </c>
    </row>
    <row r="61" ht="15.75" customHeight="1" s="52">
      <c r="A61" s="114" t="n"/>
      <c r="B61" s="76" t="n"/>
      <c r="C61" s="76" t="n"/>
      <c r="D61" s="109">
        <f t="array" ref="D61:D61">IFERROR(INDEX(GroupLookup,MATCH(C61,CategoryList,0)),"")</f>
        <v/>
      </c>
      <c r="E61" s="112" t="n"/>
      <c r="F61" s="76" t="n"/>
      <c r="G61" s="76" t="n"/>
      <c r="I61" s="75" t="inlineStr">
        <is>
          <t>স্কুল / কলেজ ফি</t>
        </is>
      </c>
      <c r="J61" s="110">
        <f>SUMIF($C$4:$C$203,$I61,$E$4:$E$203)</f>
        <v/>
      </c>
      <c r="K61" s="111">
        <f>IFERROR($J61/$J$12,0)</f>
        <v/>
      </c>
    </row>
    <row r="62" ht="15.75" customHeight="1" s="52">
      <c r="A62" s="108" t="n"/>
      <c r="B62" s="75" t="n"/>
      <c r="C62" s="75" t="n"/>
      <c r="D62" s="109">
        <f t="array" ref="D62:D62">IFERROR(INDEX(GroupLookup,MATCH(C62,CategoryList,0)),"")</f>
        <v/>
      </c>
      <c r="E62" s="110" t="n"/>
      <c r="F62" s="75" t="n"/>
      <c r="G62" s="75" t="n"/>
      <c r="I62" s="76" t="inlineStr">
        <is>
          <t>প্রাইভেট / কোচিং</t>
        </is>
      </c>
      <c r="J62" s="112">
        <f>SUMIF($C$4:$C$203,$I62,$E$4:$E$203)</f>
        <v/>
      </c>
      <c r="K62" s="113">
        <f>IFERROR($J62/$J$12,0)</f>
        <v/>
      </c>
    </row>
    <row r="63" ht="15.75" customHeight="1" s="52">
      <c r="A63" s="114" t="n"/>
      <c r="B63" s="76" t="n"/>
      <c r="C63" s="76" t="n"/>
      <c r="D63" s="109">
        <f t="array" ref="D63:D63">IFERROR(INDEX(GroupLookup,MATCH(C63,CategoryList,0)),"")</f>
        <v/>
      </c>
      <c r="E63" s="112" t="n"/>
      <c r="F63" s="76" t="n"/>
      <c r="G63" s="76" t="n"/>
      <c r="I63" s="75" t="inlineStr">
        <is>
          <t>বই ও শিক্ষা উপকরণ</t>
        </is>
      </c>
      <c r="J63" s="110">
        <f>SUMIF($C$4:$C$203,$I63,$E$4:$E$203)</f>
        <v/>
      </c>
      <c r="K63" s="111">
        <f>IFERROR($J63/$J$12,0)</f>
        <v/>
      </c>
    </row>
    <row r="64" ht="15.75" customHeight="1" s="52">
      <c r="A64" s="108" t="n"/>
      <c r="B64" s="75" t="n"/>
      <c r="C64" s="75" t="n"/>
      <c r="D64" s="109">
        <f t="array" ref="D64:D64">IFERROR(INDEX(GroupLookup,MATCH(C64,CategoryList,0)),"")</f>
        <v/>
      </c>
      <c r="E64" s="110" t="n"/>
      <c r="F64" s="75" t="n"/>
      <c r="G64" s="75" t="n"/>
      <c r="I64" s="76" t="inlineStr">
        <is>
          <t>পরীক্ষার ফি</t>
        </is>
      </c>
      <c r="J64" s="112">
        <f>SUMIF($C$4:$C$203,$I64,$E$4:$E$203)</f>
        <v/>
      </c>
      <c r="K64" s="113">
        <f>IFERROR($J64/$J$12,0)</f>
        <v/>
      </c>
    </row>
    <row r="65" ht="15.75" customHeight="1" s="52">
      <c r="A65" s="114" t="n"/>
      <c r="B65" s="76" t="n"/>
      <c r="C65" s="76" t="n"/>
      <c r="D65" s="109">
        <f t="array" ref="D65:D65">IFERROR(INDEX(GroupLookup,MATCH(C65,CategoryList,0)),"")</f>
        <v/>
      </c>
      <c r="E65" s="112" t="n"/>
      <c r="F65" s="76" t="n"/>
      <c r="G65" s="76" t="n"/>
      <c r="I65" s="75" t="inlineStr">
        <is>
          <t>পোশাক ও জুতা</t>
        </is>
      </c>
      <c r="J65" s="110">
        <f>SUMIF($C$4:$C$203,$I65,$E$4:$E$203)</f>
        <v/>
      </c>
      <c r="K65" s="111">
        <f>IFERROR($J65/$J$12,0)</f>
        <v/>
      </c>
    </row>
    <row r="66" ht="15.75" customHeight="1" s="52">
      <c r="A66" s="108" t="n"/>
      <c r="B66" s="75" t="n"/>
      <c r="C66" s="75" t="n"/>
      <c r="D66" s="109">
        <f t="array" ref="D66:D66">IFERROR(INDEX(GroupLookup,MATCH(C66,CategoryList,0)),"")</f>
        <v/>
      </c>
      <c r="E66" s="110" t="n"/>
      <c r="F66" s="75" t="n"/>
      <c r="G66" s="75" t="n"/>
      <c r="I66" s="76" t="inlineStr">
        <is>
          <t>প্রসাধনী ও পরিচর্যা</t>
        </is>
      </c>
      <c r="J66" s="112">
        <f>SUMIF($C$4:$C$203,$I66,$E$4:$E$203)</f>
        <v/>
      </c>
      <c r="K66" s="113">
        <f>IFERROR($J66/$J$12,0)</f>
        <v/>
      </c>
    </row>
    <row r="67" ht="15.75" customHeight="1" s="52">
      <c r="A67" s="114" t="n"/>
      <c r="B67" s="76" t="n"/>
      <c r="C67" s="76" t="n"/>
      <c r="D67" s="109">
        <f t="array" ref="D67:D67">IFERROR(INDEX(GroupLookup,MATCH(C67,CategoryList,0)),"")</f>
        <v/>
      </c>
      <c r="E67" s="112" t="n"/>
      <c r="F67" s="76" t="n"/>
      <c r="G67" s="76" t="n"/>
      <c r="I67" s="75" t="inlineStr">
        <is>
          <t>সাবান ও ডিটারজেন্ট</t>
        </is>
      </c>
      <c r="J67" s="110">
        <f>SUMIF($C$4:$C$203,$I67,$E$4:$E$203)</f>
        <v/>
      </c>
      <c r="K67" s="111">
        <f>IFERROR($J67/$J$12,0)</f>
        <v/>
      </c>
    </row>
    <row r="68" ht="15.75" customHeight="1" s="52">
      <c r="A68" s="108" t="n"/>
      <c r="B68" s="75" t="n"/>
      <c r="C68" s="75" t="n"/>
      <c r="D68" s="109">
        <f t="array" ref="D68:D68">IFERROR(INDEX(GroupLookup,MATCH(C68,CategoryList,0)),"")</f>
        <v/>
      </c>
      <c r="E68" s="110" t="n"/>
      <c r="F68" s="75" t="n"/>
      <c r="G68" s="75" t="n"/>
      <c r="I68" s="76" t="inlineStr">
        <is>
          <t>গৃহস্থালি সামগ্রী</t>
        </is>
      </c>
      <c r="J68" s="112">
        <f>SUMIF($C$4:$C$203,$I68,$E$4:$E$203)</f>
        <v/>
      </c>
      <c r="K68" s="113">
        <f>IFERROR($J68/$J$12,0)</f>
        <v/>
      </c>
    </row>
    <row r="69" ht="15.75" customHeight="1" s="52">
      <c r="A69" s="114" t="n"/>
      <c r="B69" s="76" t="n"/>
      <c r="C69" s="76" t="n"/>
      <c r="D69" s="109">
        <f t="array" ref="D69:D69">IFERROR(INDEX(GroupLookup,MATCH(C69,CategoryList,0)),"")</f>
        <v/>
      </c>
      <c r="E69" s="112" t="n"/>
      <c r="F69" s="76" t="n"/>
      <c r="G69" s="76" t="n"/>
      <c r="I69" s="75" t="inlineStr">
        <is>
          <t>সেলুন / পার্লার</t>
        </is>
      </c>
      <c r="J69" s="110">
        <f>SUMIF($C$4:$C$203,$I69,$E$4:$E$203)</f>
        <v/>
      </c>
      <c r="K69" s="111">
        <f>IFERROR($J69/$J$12,0)</f>
        <v/>
      </c>
    </row>
    <row r="70" ht="15.75" customHeight="1" s="52">
      <c r="A70" s="108" t="n"/>
      <c r="B70" s="75" t="n"/>
      <c r="C70" s="75" t="n"/>
      <c r="D70" s="109">
        <f t="array" ref="D70:D70">IFERROR(INDEX(GroupLookup,MATCH(C70,CategoryList,0)),"")</f>
        <v/>
      </c>
      <c r="E70" s="110" t="n"/>
      <c r="F70" s="75" t="n"/>
      <c r="G70" s="75" t="n"/>
      <c r="I70" s="76" t="inlineStr">
        <is>
          <t>বিনোদন ও ঘোরাঘুরি</t>
        </is>
      </c>
      <c r="J70" s="112">
        <f>SUMIF($C$4:$C$203,$I70,$E$4:$E$203)</f>
        <v/>
      </c>
      <c r="K70" s="113">
        <f>IFERROR($J70/$J$12,0)</f>
        <v/>
      </c>
    </row>
    <row r="71" ht="15.75" customHeight="1" s="52">
      <c r="A71" s="114" t="n"/>
      <c r="B71" s="76" t="n"/>
      <c r="C71" s="76" t="n"/>
      <c r="D71" s="109">
        <f t="array" ref="D71:D71">IFERROR(INDEX(GroupLookup,MATCH(C71,CategoryList,0)),"")</f>
        <v/>
      </c>
      <c r="E71" s="112" t="n"/>
      <c r="F71" s="76" t="n"/>
      <c r="G71" s="76" t="n"/>
      <c r="I71" s="75" t="inlineStr">
        <is>
          <t>উপহার ও অনুষ্ঠান</t>
        </is>
      </c>
      <c r="J71" s="110">
        <f>SUMIF($C$4:$C$203,$I71,$E$4:$E$203)</f>
        <v/>
      </c>
      <c r="K71" s="111">
        <f>IFERROR($J71/$J$12,0)</f>
        <v/>
      </c>
    </row>
    <row r="72" ht="15.75" customHeight="1" s="52">
      <c r="A72" s="108" t="n"/>
      <c r="B72" s="75" t="n"/>
      <c r="C72" s="75" t="n"/>
      <c r="D72" s="109">
        <f t="array" ref="D72:D72">IFERROR(INDEX(GroupLookup,MATCH(C72,CategoryList,0)),"")</f>
        <v/>
      </c>
      <c r="E72" s="110" t="n"/>
      <c r="F72" s="75" t="n"/>
      <c r="G72" s="75" t="n"/>
      <c r="I72" s="76" t="inlineStr">
        <is>
          <t>দান ও যাকাত</t>
        </is>
      </c>
      <c r="J72" s="112">
        <f>SUMIF($C$4:$C$203,$I72,$E$4:$E$203)</f>
        <v/>
      </c>
      <c r="K72" s="113">
        <f>IFERROR($J72/$J$12,0)</f>
        <v/>
      </c>
    </row>
    <row r="73" ht="15.75" customHeight="1" s="52">
      <c r="A73" s="114" t="n"/>
      <c r="B73" s="76" t="n"/>
      <c r="C73" s="76" t="n"/>
      <c r="D73" s="109">
        <f t="array" ref="D73:D73">IFERROR(INDEX(GroupLookup,MATCH(C73,CategoryList,0)),"")</f>
        <v/>
      </c>
      <c r="E73" s="112" t="n"/>
      <c r="F73" s="76" t="n"/>
      <c r="G73" s="76" t="n"/>
      <c r="I73" s="75" t="inlineStr">
        <is>
          <t>সঞ্চয় ও বিনিয়োগ</t>
        </is>
      </c>
      <c r="J73" s="110">
        <f>SUMIF($C$4:$C$203,$I73,$E$4:$E$203)</f>
        <v/>
      </c>
      <c r="K73" s="111">
        <f>IFERROR($J73/$J$12,0)</f>
        <v/>
      </c>
    </row>
    <row r="74" ht="15.75" customHeight="1" s="52">
      <c r="A74" s="108" t="n"/>
      <c r="B74" s="75" t="n"/>
      <c r="C74" s="75" t="n"/>
      <c r="D74" s="109">
        <f t="array" ref="D74:D74">IFERROR(INDEX(GroupLookup,MATCH(C74,CategoryList,0)),"")</f>
        <v/>
      </c>
      <c r="E74" s="110" t="n"/>
      <c r="F74" s="75" t="n"/>
      <c r="G74" s="75" t="n"/>
      <c r="I74" s="76" t="inlineStr">
        <is>
          <t>ঋণ পরিশোধ / কিস্তি</t>
        </is>
      </c>
      <c r="J74" s="112">
        <f>SUMIF($C$4:$C$203,$I74,$E$4:$E$203)</f>
        <v/>
      </c>
      <c r="K74" s="113">
        <f>IFERROR($J74/$J$12,0)</f>
        <v/>
      </c>
    </row>
    <row r="75" ht="15.75" customHeight="1" s="52">
      <c r="A75" s="114" t="n"/>
      <c r="B75" s="76" t="n"/>
      <c r="C75" s="76" t="n"/>
      <c r="D75" s="109">
        <f t="array" ref="D75:D75">IFERROR(INDEX(GroupLookup,MATCH(C75,CategoryList,0)),"")</f>
        <v/>
      </c>
      <c r="E75" s="112" t="n"/>
      <c r="F75" s="76" t="n"/>
      <c r="G75" s="76" t="n"/>
      <c r="I75" s="75" t="inlineStr">
        <is>
          <t>বীমা প্রিমিয়াম</t>
        </is>
      </c>
      <c r="J75" s="110">
        <f>SUMIF($C$4:$C$203,$I75,$E$4:$E$203)</f>
        <v/>
      </c>
      <c r="K75" s="111">
        <f>IFERROR($J75/$J$12,0)</f>
        <v/>
      </c>
    </row>
    <row r="76" ht="15.75" customHeight="1" s="52">
      <c r="A76" s="108" t="n"/>
      <c r="B76" s="75" t="n"/>
      <c r="C76" s="75" t="n"/>
      <c r="D76" s="109">
        <f t="array" ref="D76:D76">IFERROR(INDEX(GroupLookup,MATCH(C76,CategoryList,0)),"")</f>
        <v/>
      </c>
      <c r="E76" s="110" t="n"/>
      <c r="F76" s="75" t="n"/>
      <c r="G76" s="75" t="n"/>
      <c r="I76" s="76" t="inlineStr">
        <is>
          <t>অন্যান্য খরচ</t>
        </is>
      </c>
      <c r="J76" s="112">
        <f>SUMIF($C$4:$C$203,$I76,$E$4:$E$203)</f>
        <v/>
      </c>
      <c r="K76" s="113">
        <f>IFERROR($J76/$J$12,0)</f>
        <v/>
      </c>
    </row>
    <row r="77" ht="15.75" customHeight="1" s="52">
      <c r="A77" s="114" t="n"/>
      <c r="B77" s="76" t="n"/>
      <c r="C77" s="76" t="n"/>
      <c r="D77" s="109">
        <f t="array" ref="D77:D77">IFERROR(INDEX(GroupLookup,MATCH(C77,CategoryList,0)),"")</f>
        <v/>
      </c>
      <c r="E77" s="112" t="n"/>
      <c r="F77" s="76" t="n"/>
      <c r="G77" s="76" t="n"/>
      <c r="I77" s="72" t="inlineStr">
        <is>
          <t>সর্বমোট</t>
        </is>
      </c>
      <c r="J77" s="117">
        <f>SUM($J$23:$J$76)</f>
        <v/>
      </c>
      <c r="K77" s="118">
        <f>IFERROR($J$77/$J$12,0)</f>
        <v/>
      </c>
    </row>
    <row r="78" ht="15.75" customHeight="1" s="52">
      <c r="A78" s="108" t="n"/>
      <c r="B78" s="75" t="n"/>
      <c r="C78" s="75" t="n"/>
      <c r="D78" s="109">
        <f t="array" ref="D78:D78">IFERROR(INDEX(GroupLookup,MATCH(C78,CategoryList,0)),"")</f>
        <v/>
      </c>
      <c r="E78" s="110" t="n"/>
      <c r="F78" s="75" t="n"/>
      <c r="G78" s="75" t="n"/>
    </row>
    <row r="79" ht="15.75" customHeight="1" s="52">
      <c r="A79" s="114" t="n"/>
      <c r="B79" s="76" t="n"/>
      <c r="C79" s="76" t="n"/>
      <c r="D79" s="109">
        <f t="array" ref="D79:D79">IFERROR(INDEX(GroupLookup,MATCH(C79,CategoryList,0)),"")</f>
        <v/>
      </c>
      <c r="E79" s="112" t="n"/>
      <c r="F79" s="76" t="n"/>
      <c r="G79" s="76" t="n"/>
    </row>
    <row r="80" ht="15.75" customHeight="1" s="52">
      <c r="A80" s="108" t="n"/>
      <c r="B80" s="75" t="n"/>
      <c r="C80" s="75" t="n"/>
      <c r="D80" s="109">
        <f t="array" ref="D80:D80">IFERROR(INDEX(GroupLookup,MATCH(C80,CategoryList,0)),"")</f>
        <v/>
      </c>
      <c r="E80" s="110" t="n"/>
      <c r="F80" s="75" t="n"/>
      <c r="G80" s="75" t="n"/>
    </row>
    <row r="81" ht="15.75" customHeight="1" s="52">
      <c r="A81" s="114" t="n"/>
      <c r="B81" s="76" t="n"/>
      <c r="C81" s="76" t="n"/>
      <c r="D81" s="109">
        <f t="array" ref="D81:D81">IFERROR(INDEX(GroupLookup,MATCH(C81,CategoryList,0)),"")</f>
        <v/>
      </c>
      <c r="E81" s="112" t="n"/>
      <c r="F81" s="76" t="n"/>
      <c r="G81" s="76" t="n"/>
    </row>
    <row r="82" ht="15.75" customHeight="1" s="52">
      <c r="A82" s="108" t="n"/>
      <c r="B82" s="75" t="n"/>
      <c r="C82" s="75" t="n"/>
      <c r="D82" s="109">
        <f t="array" ref="D82:D82">IFERROR(INDEX(GroupLookup,MATCH(C82,CategoryList,0)),"")</f>
        <v/>
      </c>
      <c r="E82" s="110" t="n"/>
      <c r="F82" s="75" t="n"/>
      <c r="G82" s="75" t="n"/>
    </row>
    <row r="83" ht="15.75" customHeight="1" s="52">
      <c r="A83" s="114" t="n"/>
      <c r="B83" s="76" t="n"/>
      <c r="C83" s="76" t="n"/>
      <c r="D83" s="109">
        <f t="array" ref="D83:D83">IFERROR(INDEX(GroupLookup,MATCH(C83,CategoryList,0)),"")</f>
        <v/>
      </c>
      <c r="E83" s="112" t="n"/>
      <c r="F83" s="76" t="n"/>
      <c r="G83" s="76" t="n"/>
    </row>
    <row r="84" ht="15.75" customHeight="1" s="52">
      <c r="A84" s="108" t="n"/>
      <c r="B84" s="75" t="n"/>
      <c r="C84" s="75" t="n"/>
      <c r="D84" s="109">
        <f t="array" ref="D84:D84">IFERROR(INDEX(GroupLookup,MATCH(C84,CategoryList,0)),"")</f>
        <v/>
      </c>
      <c r="E84" s="110" t="n"/>
      <c r="F84" s="75" t="n"/>
      <c r="G84" s="75" t="n"/>
    </row>
    <row r="85" ht="15.75" customHeight="1" s="52">
      <c r="A85" s="114" t="n"/>
      <c r="B85" s="76" t="n"/>
      <c r="C85" s="76" t="n"/>
      <c r="D85" s="109">
        <f t="array" ref="D85:D85">IFERROR(INDEX(GroupLookup,MATCH(C85,CategoryList,0)),"")</f>
        <v/>
      </c>
      <c r="E85" s="112" t="n"/>
      <c r="F85" s="76" t="n"/>
      <c r="G85" s="76" t="n"/>
    </row>
    <row r="86" ht="15.75" customHeight="1" s="52">
      <c r="A86" s="108" t="n"/>
      <c r="B86" s="75" t="n"/>
      <c r="C86" s="75" t="n"/>
      <c r="D86" s="109">
        <f t="array" ref="D86:D86">IFERROR(INDEX(GroupLookup,MATCH(C86,CategoryList,0)),"")</f>
        <v/>
      </c>
      <c r="E86" s="110" t="n"/>
      <c r="F86" s="75" t="n"/>
      <c r="G86" s="75" t="n"/>
    </row>
    <row r="87" ht="15.75" customHeight="1" s="52">
      <c r="A87" s="114" t="n"/>
      <c r="B87" s="76" t="n"/>
      <c r="C87" s="76" t="n"/>
      <c r="D87" s="109">
        <f t="array" ref="D87:D87">IFERROR(INDEX(GroupLookup,MATCH(C87,CategoryList,0)),"")</f>
        <v/>
      </c>
      <c r="E87" s="112" t="n"/>
      <c r="F87" s="76" t="n"/>
      <c r="G87" s="76" t="n"/>
    </row>
    <row r="88" ht="15.75" customHeight="1" s="52">
      <c r="A88" s="108" t="n"/>
      <c r="B88" s="75" t="n"/>
      <c r="C88" s="75" t="n"/>
      <c r="D88" s="109">
        <f t="array" ref="D88:D88">IFERROR(INDEX(GroupLookup,MATCH(C88,CategoryList,0)),"")</f>
        <v/>
      </c>
      <c r="E88" s="110" t="n"/>
      <c r="F88" s="75" t="n"/>
      <c r="G88" s="75" t="n"/>
    </row>
    <row r="89" ht="15.75" customHeight="1" s="52">
      <c r="A89" s="114" t="n"/>
      <c r="B89" s="76" t="n"/>
      <c r="C89" s="76" t="n"/>
      <c r="D89" s="109">
        <f t="array" ref="D89:D89">IFERROR(INDEX(GroupLookup,MATCH(C89,CategoryList,0)),"")</f>
        <v/>
      </c>
      <c r="E89" s="112" t="n"/>
      <c r="F89" s="76" t="n"/>
      <c r="G89" s="76" t="n"/>
    </row>
    <row r="90" ht="15.75" customHeight="1" s="52">
      <c r="A90" s="108" t="n"/>
      <c r="B90" s="75" t="n"/>
      <c r="C90" s="75" t="n"/>
      <c r="D90" s="109">
        <f t="array" ref="D90:D90">IFERROR(INDEX(GroupLookup,MATCH(C90,CategoryList,0)),"")</f>
        <v/>
      </c>
      <c r="E90" s="110" t="n"/>
      <c r="F90" s="75" t="n"/>
      <c r="G90" s="75" t="n"/>
    </row>
    <row r="91" ht="15.75" customHeight="1" s="52">
      <c r="A91" s="114" t="n"/>
      <c r="B91" s="76" t="n"/>
      <c r="C91" s="76" t="n"/>
      <c r="D91" s="109">
        <f t="array" ref="D91:D91">IFERROR(INDEX(GroupLookup,MATCH(C91,CategoryList,0)),"")</f>
        <v/>
      </c>
      <c r="E91" s="112" t="n"/>
      <c r="F91" s="76" t="n"/>
      <c r="G91" s="76" t="n"/>
    </row>
    <row r="92" ht="15.75" customHeight="1" s="52">
      <c r="A92" s="108" t="n"/>
      <c r="B92" s="75" t="n"/>
      <c r="C92" s="75" t="n"/>
      <c r="D92" s="109">
        <f t="array" ref="D92:D92">IFERROR(INDEX(GroupLookup,MATCH(C92,CategoryList,0)),"")</f>
        <v/>
      </c>
      <c r="E92" s="110" t="n"/>
      <c r="F92" s="75" t="n"/>
      <c r="G92" s="75" t="n"/>
    </row>
    <row r="93" ht="15.75" customHeight="1" s="52">
      <c r="A93" s="114" t="n"/>
      <c r="B93" s="76" t="n"/>
      <c r="C93" s="76" t="n"/>
      <c r="D93" s="109">
        <f t="array" ref="D93:D93">IFERROR(INDEX(GroupLookup,MATCH(C93,CategoryList,0)),"")</f>
        <v/>
      </c>
      <c r="E93" s="112" t="n"/>
      <c r="F93" s="76" t="n"/>
      <c r="G93" s="76" t="n"/>
    </row>
    <row r="94" ht="15.75" customHeight="1" s="52">
      <c r="A94" s="108" t="n"/>
      <c r="B94" s="75" t="n"/>
      <c r="C94" s="75" t="n"/>
      <c r="D94" s="109">
        <f t="array" ref="D94:D94">IFERROR(INDEX(GroupLookup,MATCH(C94,CategoryList,0)),"")</f>
        <v/>
      </c>
      <c r="E94" s="110" t="n"/>
      <c r="F94" s="75" t="n"/>
      <c r="G94" s="75" t="n"/>
    </row>
    <row r="95" ht="15.75" customHeight="1" s="52">
      <c r="A95" s="114" t="n"/>
      <c r="B95" s="76" t="n"/>
      <c r="C95" s="76" t="n"/>
      <c r="D95" s="109">
        <f t="array" ref="D95:D95">IFERROR(INDEX(GroupLookup,MATCH(C95,CategoryList,0)),"")</f>
        <v/>
      </c>
      <c r="E95" s="112" t="n"/>
      <c r="F95" s="76" t="n"/>
      <c r="G95" s="76" t="n"/>
    </row>
    <row r="96" ht="15.75" customHeight="1" s="52">
      <c r="A96" s="108" t="n"/>
      <c r="B96" s="75" t="n"/>
      <c r="C96" s="75" t="n"/>
      <c r="D96" s="109">
        <f t="array" ref="D96:D96">IFERROR(INDEX(GroupLookup,MATCH(C96,CategoryList,0)),"")</f>
        <v/>
      </c>
      <c r="E96" s="110" t="n"/>
      <c r="F96" s="75" t="n"/>
      <c r="G96" s="75" t="n"/>
    </row>
    <row r="97" ht="15.75" customHeight="1" s="52">
      <c r="A97" s="114" t="n"/>
      <c r="B97" s="76" t="n"/>
      <c r="C97" s="76" t="n"/>
      <c r="D97" s="109">
        <f t="array" ref="D97:D97">IFERROR(INDEX(GroupLookup,MATCH(C97,CategoryList,0)),"")</f>
        <v/>
      </c>
      <c r="E97" s="112" t="n"/>
      <c r="F97" s="76" t="n"/>
      <c r="G97" s="76" t="n"/>
    </row>
    <row r="98" ht="15.75" customHeight="1" s="52">
      <c r="A98" s="108" t="n"/>
      <c r="B98" s="75" t="n"/>
      <c r="C98" s="75" t="n"/>
      <c r="D98" s="109">
        <f t="array" ref="D98:D98">IFERROR(INDEX(GroupLookup,MATCH(C98,CategoryList,0)),"")</f>
        <v/>
      </c>
      <c r="E98" s="110" t="n"/>
      <c r="F98" s="75" t="n"/>
      <c r="G98" s="75" t="n"/>
    </row>
    <row r="99" ht="15.75" customHeight="1" s="52">
      <c r="A99" s="114" t="n"/>
      <c r="B99" s="76" t="n"/>
      <c r="C99" s="76" t="n"/>
      <c r="D99" s="109">
        <f t="array" ref="D99:D99">IFERROR(INDEX(GroupLookup,MATCH(C99,CategoryList,0)),"")</f>
        <v/>
      </c>
      <c r="E99" s="112" t="n"/>
      <c r="F99" s="76" t="n"/>
      <c r="G99" s="76" t="n"/>
    </row>
    <row r="100" ht="15.75" customHeight="1" s="52">
      <c r="A100" s="108" t="n"/>
      <c r="B100" s="75" t="n"/>
      <c r="C100" s="75" t="n"/>
      <c r="D100" s="109">
        <f t="array" ref="D100:D100">IFERROR(INDEX(GroupLookup,MATCH(C100,CategoryList,0)),"")</f>
        <v/>
      </c>
      <c r="E100" s="110" t="n"/>
      <c r="F100" s="75" t="n"/>
      <c r="G100" s="75" t="n"/>
    </row>
    <row r="101" ht="15.75" customHeight="1" s="52">
      <c r="A101" s="114" t="n"/>
      <c r="B101" s="76" t="n"/>
      <c r="C101" s="76" t="n"/>
      <c r="D101" s="109">
        <f t="array" ref="D101:D101">IFERROR(INDEX(GroupLookup,MATCH(C101,CategoryList,0)),"")</f>
        <v/>
      </c>
      <c r="E101" s="112" t="n"/>
      <c r="F101" s="76" t="n"/>
      <c r="G101" s="76" t="n"/>
    </row>
    <row r="102" ht="15.75" customHeight="1" s="52">
      <c r="A102" s="108" t="n"/>
      <c r="B102" s="75" t="n"/>
      <c r="C102" s="75" t="n"/>
      <c r="D102" s="109">
        <f t="array" ref="D102:D102">IFERROR(INDEX(GroupLookup,MATCH(C102,CategoryList,0)),"")</f>
        <v/>
      </c>
      <c r="E102" s="110" t="n"/>
      <c r="F102" s="75" t="n"/>
      <c r="G102" s="75" t="n"/>
    </row>
    <row r="103" ht="15.75" customHeight="1" s="52">
      <c r="A103" s="114" t="n"/>
      <c r="B103" s="76" t="n"/>
      <c r="C103" s="76" t="n"/>
      <c r="D103" s="109">
        <f t="array" ref="D103:D103">IFERROR(INDEX(GroupLookup,MATCH(C103,CategoryList,0)),"")</f>
        <v/>
      </c>
      <c r="E103" s="112" t="n"/>
      <c r="F103" s="76" t="n"/>
      <c r="G103" s="76" t="n"/>
    </row>
    <row r="104" ht="15.75" customHeight="1" s="52">
      <c r="A104" s="108" t="n"/>
      <c r="B104" s="75" t="n"/>
      <c r="C104" s="75" t="n"/>
      <c r="D104" s="109">
        <f t="array" ref="D104:D104">IFERROR(INDEX(GroupLookup,MATCH(C104,CategoryList,0)),"")</f>
        <v/>
      </c>
      <c r="E104" s="110" t="n"/>
      <c r="F104" s="75" t="n"/>
      <c r="G104" s="75" t="n"/>
    </row>
    <row r="105" ht="15.75" customHeight="1" s="52">
      <c r="A105" s="114" t="n"/>
      <c r="B105" s="76" t="n"/>
      <c r="C105" s="76" t="n"/>
      <c r="D105" s="109">
        <f t="array" ref="D105:D105">IFERROR(INDEX(GroupLookup,MATCH(C105,CategoryList,0)),"")</f>
        <v/>
      </c>
      <c r="E105" s="112" t="n"/>
      <c r="F105" s="76" t="n"/>
      <c r="G105" s="76" t="n"/>
    </row>
    <row r="106" ht="15.75" customHeight="1" s="52">
      <c r="A106" s="108" t="n"/>
      <c r="B106" s="75" t="n"/>
      <c r="C106" s="75" t="n"/>
      <c r="D106" s="109">
        <f t="array" ref="D106:D106">IFERROR(INDEX(GroupLookup,MATCH(C106,CategoryList,0)),"")</f>
        <v/>
      </c>
      <c r="E106" s="110" t="n"/>
      <c r="F106" s="75" t="n"/>
      <c r="G106" s="75" t="n"/>
    </row>
    <row r="107" ht="15.75" customHeight="1" s="52">
      <c r="A107" s="114" t="n"/>
      <c r="B107" s="76" t="n"/>
      <c r="C107" s="76" t="n"/>
      <c r="D107" s="109">
        <f t="array" ref="D107:D107">IFERROR(INDEX(GroupLookup,MATCH(C107,CategoryList,0)),"")</f>
        <v/>
      </c>
      <c r="E107" s="112" t="n"/>
      <c r="F107" s="76" t="n"/>
      <c r="G107" s="76" t="n"/>
    </row>
    <row r="108" ht="15.75" customHeight="1" s="52">
      <c r="A108" s="108" t="n"/>
      <c r="B108" s="75" t="n"/>
      <c r="C108" s="75" t="n"/>
      <c r="D108" s="109">
        <f t="array" ref="D108:D108">IFERROR(INDEX(GroupLookup,MATCH(C108,CategoryList,0)),"")</f>
        <v/>
      </c>
      <c r="E108" s="110" t="n"/>
      <c r="F108" s="75" t="n"/>
      <c r="G108" s="75" t="n"/>
    </row>
    <row r="109" ht="15.75" customHeight="1" s="52">
      <c r="A109" s="114" t="n"/>
      <c r="B109" s="76" t="n"/>
      <c r="C109" s="76" t="n"/>
      <c r="D109" s="109">
        <f t="array" ref="D109:D109">IFERROR(INDEX(GroupLookup,MATCH(C109,CategoryList,0)),"")</f>
        <v/>
      </c>
      <c r="E109" s="112" t="n"/>
      <c r="F109" s="76" t="n"/>
      <c r="G109" s="76" t="n"/>
    </row>
    <row r="110" ht="15.75" customHeight="1" s="52">
      <c r="A110" s="108" t="n"/>
      <c r="B110" s="75" t="n"/>
      <c r="C110" s="75" t="n"/>
      <c r="D110" s="109">
        <f t="array" ref="D110:D110">IFERROR(INDEX(GroupLookup,MATCH(C110,CategoryList,0)),"")</f>
        <v/>
      </c>
      <c r="E110" s="110" t="n"/>
      <c r="F110" s="75" t="n"/>
      <c r="G110" s="75" t="n"/>
    </row>
    <row r="111" ht="15.75" customHeight="1" s="52">
      <c r="A111" s="114" t="n"/>
      <c r="B111" s="76" t="n"/>
      <c r="C111" s="76" t="n"/>
      <c r="D111" s="109">
        <f t="array" ref="D111:D111">IFERROR(INDEX(GroupLookup,MATCH(C111,CategoryList,0)),"")</f>
        <v/>
      </c>
      <c r="E111" s="112" t="n"/>
      <c r="F111" s="76" t="n"/>
      <c r="G111" s="76" t="n"/>
    </row>
    <row r="112" ht="15.75" customHeight="1" s="52">
      <c r="A112" s="108" t="n"/>
      <c r="B112" s="75" t="n"/>
      <c r="C112" s="75" t="n"/>
      <c r="D112" s="109">
        <f t="array" ref="D112:D112">IFERROR(INDEX(GroupLookup,MATCH(C112,CategoryList,0)),"")</f>
        <v/>
      </c>
      <c r="E112" s="110" t="n"/>
      <c r="F112" s="75" t="n"/>
      <c r="G112" s="75" t="n"/>
    </row>
    <row r="113" ht="15.75" customHeight="1" s="52">
      <c r="A113" s="114" t="n"/>
      <c r="B113" s="76" t="n"/>
      <c r="C113" s="76" t="n"/>
      <c r="D113" s="109">
        <f t="array" ref="D113:D113">IFERROR(INDEX(GroupLookup,MATCH(C113,CategoryList,0)),"")</f>
        <v/>
      </c>
      <c r="E113" s="112" t="n"/>
      <c r="F113" s="76" t="n"/>
      <c r="G113" s="76" t="n"/>
    </row>
    <row r="114" ht="15.75" customHeight="1" s="52">
      <c r="A114" s="108" t="n"/>
      <c r="B114" s="75" t="n"/>
      <c r="C114" s="75" t="n"/>
      <c r="D114" s="109">
        <f t="array" ref="D114:D114">IFERROR(INDEX(GroupLookup,MATCH(C114,CategoryList,0)),"")</f>
        <v/>
      </c>
      <c r="E114" s="110" t="n"/>
      <c r="F114" s="75" t="n"/>
      <c r="G114" s="75" t="n"/>
    </row>
    <row r="115" ht="15.75" customHeight="1" s="52">
      <c r="A115" s="114" t="n"/>
      <c r="B115" s="76" t="n"/>
      <c r="C115" s="76" t="n"/>
      <c r="D115" s="109">
        <f t="array" ref="D115:D115">IFERROR(INDEX(GroupLookup,MATCH(C115,CategoryList,0)),"")</f>
        <v/>
      </c>
      <c r="E115" s="112" t="n"/>
      <c r="F115" s="76" t="n"/>
      <c r="G115" s="76" t="n"/>
    </row>
    <row r="116" ht="15.75" customHeight="1" s="52">
      <c r="A116" s="108" t="n"/>
      <c r="B116" s="75" t="n"/>
      <c r="C116" s="75" t="n"/>
      <c r="D116" s="109">
        <f t="array" ref="D116:D116">IFERROR(INDEX(GroupLookup,MATCH(C116,CategoryList,0)),"")</f>
        <v/>
      </c>
      <c r="E116" s="110" t="n"/>
      <c r="F116" s="75" t="n"/>
      <c r="G116" s="75" t="n"/>
    </row>
    <row r="117" ht="15.75" customHeight="1" s="52">
      <c r="A117" s="114" t="n"/>
      <c r="B117" s="76" t="n"/>
      <c r="C117" s="76" t="n"/>
      <c r="D117" s="109">
        <f t="array" ref="D117:D117">IFERROR(INDEX(GroupLookup,MATCH(C117,CategoryList,0)),"")</f>
        <v/>
      </c>
      <c r="E117" s="112" t="n"/>
      <c r="F117" s="76" t="n"/>
      <c r="G117" s="76" t="n"/>
    </row>
    <row r="118" ht="15.75" customHeight="1" s="52">
      <c r="A118" s="108" t="n"/>
      <c r="B118" s="75" t="n"/>
      <c r="C118" s="75" t="n"/>
      <c r="D118" s="109">
        <f t="array" ref="D118:D118">IFERROR(INDEX(GroupLookup,MATCH(C118,CategoryList,0)),"")</f>
        <v/>
      </c>
      <c r="E118" s="110" t="n"/>
      <c r="F118" s="75" t="n"/>
      <c r="G118" s="75" t="n"/>
    </row>
    <row r="119" ht="15.75" customHeight="1" s="52">
      <c r="A119" s="114" t="n"/>
      <c r="B119" s="76" t="n"/>
      <c r="C119" s="76" t="n"/>
      <c r="D119" s="109">
        <f t="array" ref="D119:D119">IFERROR(INDEX(GroupLookup,MATCH(C119,CategoryList,0)),"")</f>
        <v/>
      </c>
      <c r="E119" s="112" t="n"/>
      <c r="F119" s="76" t="n"/>
      <c r="G119" s="76" t="n"/>
    </row>
    <row r="120" ht="15.75" customHeight="1" s="52">
      <c r="A120" s="108" t="n"/>
      <c r="B120" s="75" t="n"/>
      <c r="C120" s="75" t="n"/>
      <c r="D120" s="109">
        <f t="array" ref="D120:D120">IFERROR(INDEX(GroupLookup,MATCH(C120,CategoryList,0)),"")</f>
        <v/>
      </c>
      <c r="E120" s="110" t="n"/>
      <c r="F120" s="75" t="n"/>
      <c r="G120" s="75" t="n"/>
    </row>
    <row r="121" ht="15.75" customHeight="1" s="52">
      <c r="A121" s="114" t="n"/>
      <c r="B121" s="76" t="n"/>
      <c r="C121" s="76" t="n"/>
      <c r="D121" s="109">
        <f t="array" ref="D121:D121">IFERROR(INDEX(GroupLookup,MATCH(C121,CategoryList,0)),"")</f>
        <v/>
      </c>
      <c r="E121" s="112" t="n"/>
      <c r="F121" s="76" t="n"/>
      <c r="G121" s="76" t="n"/>
    </row>
    <row r="122" ht="15.75" customHeight="1" s="52">
      <c r="A122" s="108" t="n"/>
      <c r="B122" s="75" t="n"/>
      <c r="C122" s="75" t="n"/>
      <c r="D122" s="109">
        <f t="array" ref="D122:D122">IFERROR(INDEX(GroupLookup,MATCH(C122,CategoryList,0)),"")</f>
        <v/>
      </c>
      <c r="E122" s="110" t="n"/>
      <c r="F122" s="75" t="n"/>
      <c r="G122" s="75" t="n"/>
    </row>
    <row r="123" ht="15.75" customHeight="1" s="52">
      <c r="A123" s="114" t="n"/>
      <c r="B123" s="76" t="n"/>
      <c r="C123" s="76" t="n"/>
      <c r="D123" s="109">
        <f t="array" ref="D123:D123">IFERROR(INDEX(GroupLookup,MATCH(C123,CategoryList,0)),"")</f>
        <v/>
      </c>
      <c r="E123" s="112" t="n"/>
      <c r="F123" s="76" t="n"/>
      <c r="G123" s="76" t="n"/>
    </row>
    <row r="124" ht="15.75" customHeight="1" s="52">
      <c r="A124" s="108" t="n"/>
      <c r="B124" s="75" t="n"/>
      <c r="C124" s="75" t="n"/>
      <c r="D124" s="109">
        <f t="array" ref="D124:D124">IFERROR(INDEX(GroupLookup,MATCH(C124,CategoryList,0)),"")</f>
        <v/>
      </c>
      <c r="E124" s="110" t="n"/>
      <c r="F124" s="75" t="n"/>
      <c r="G124" s="75" t="n"/>
    </row>
    <row r="125" ht="15.75" customHeight="1" s="52">
      <c r="A125" s="114" t="n"/>
      <c r="B125" s="76" t="n"/>
      <c r="C125" s="76" t="n"/>
      <c r="D125" s="109">
        <f t="array" ref="D125:D125">IFERROR(INDEX(GroupLookup,MATCH(C125,CategoryList,0)),"")</f>
        <v/>
      </c>
      <c r="E125" s="112" t="n"/>
      <c r="F125" s="76" t="n"/>
      <c r="G125" s="76" t="n"/>
    </row>
    <row r="126" ht="15.75" customHeight="1" s="52">
      <c r="A126" s="108" t="n"/>
      <c r="B126" s="75" t="n"/>
      <c r="C126" s="75" t="n"/>
      <c r="D126" s="109">
        <f t="array" ref="D126:D126">IFERROR(INDEX(GroupLookup,MATCH(C126,CategoryList,0)),"")</f>
        <v/>
      </c>
      <c r="E126" s="110" t="n"/>
      <c r="F126" s="75" t="n"/>
      <c r="G126" s="75" t="n"/>
    </row>
    <row r="127" ht="15.75" customHeight="1" s="52">
      <c r="A127" s="114" t="n"/>
      <c r="B127" s="76" t="n"/>
      <c r="C127" s="76" t="n"/>
      <c r="D127" s="109">
        <f t="array" ref="D127:D127">IFERROR(INDEX(GroupLookup,MATCH(C127,CategoryList,0)),"")</f>
        <v/>
      </c>
      <c r="E127" s="112" t="n"/>
      <c r="F127" s="76" t="n"/>
      <c r="G127" s="76" t="n"/>
    </row>
    <row r="128" ht="15.75" customHeight="1" s="52">
      <c r="A128" s="108" t="n"/>
      <c r="B128" s="75" t="n"/>
      <c r="C128" s="75" t="n"/>
      <c r="D128" s="109">
        <f t="array" ref="D128:D128">IFERROR(INDEX(GroupLookup,MATCH(C128,CategoryList,0)),"")</f>
        <v/>
      </c>
      <c r="E128" s="110" t="n"/>
      <c r="F128" s="75" t="n"/>
      <c r="G128" s="75" t="n"/>
    </row>
    <row r="129" ht="15.75" customHeight="1" s="52">
      <c r="A129" s="114" t="n"/>
      <c r="B129" s="76" t="n"/>
      <c r="C129" s="76" t="n"/>
      <c r="D129" s="109">
        <f t="array" ref="D129:D129">IFERROR(INDEX(GroupLookup,MATCH(C129,CategoryList,0)),"")</f>
        <v/>
      </c>
      <c r="E129" s="112" t="n"/>
      <c r="F129" s="76" t="n"/>
      <c r="G129" s="76" t="n"/>
    </row>
    <row r="130" ht="15.75" customHeight="1" s="52">
      <c r="A130" s="108" t="n"/>
      <c r="B130" s="75" t="n"/>
      <c r="C130" s="75" t="n"/>
      <c r="D130" s="109">
        <f t="array" ref="D130:D130">IFERROR(INDEX(GroupLookup,MATCH(C130,CategoryList,0)),"")</f>
        <v/>
      </c>
      <c r="E130" s="110" t="n"/>
      <c r="F130" s="75" t="n"/>
      <c r="G130" s="75" t="n"/>
    </row>
    <row r="131" ht="15.75" customHeight="1" s="52">
      <c r="A131" s="114" t="n"/>
      <c r="B131" s="76" t="n"/>
      <c r="C131" s="76" t="n"/>
      <c r="D131" s="109">
        <f t="array" ref="D131:D131">IFERROR(INDEX(GroupLookup,MATCH(C131,CategoryList,0)),"")</f>
        <v/>
      </c>
      <c r="E131" s="112" t="n"/>
      <c r="F131" s="76" t="n"/>
      <c r="G131" s="76" t="n"/>
    </row>
    <row r="132" ht="15.75" customHeight="1" s="52">
      <c r="A132" s="108" t="n"/>
      <c r="B132" s="75" t="n"/>
      <c r="C132" s="75" t="n"/>
      <c r="D132" s="109">
        <f t="array" ref="D132:D132">IFERROR(INDEX(GroupLookup,MATCH(C132,CategoryList,0)),"")</f>
        <v/>
      </c>
      <c r="E132" s="110" t="n"/>
      <c r="F132" s="75" t="n"/>
      <c r="G132" s="75" t="n"/>
    </row>
    <row r="133" ht="15.75" customHeight="1" s="52">
      <c r="A133" s="114" t="n"/>
      <c r="B133" s="76" t="n"/>
      <c r="C133" s="76" t="n"/>
      <c r="D133" s="109">
        <f t="array" ref="D133:D133">IFERROR(INDEX(GroupLookup,MATCH(C133,CategoryList,0)),"")</f>
        <v/>
      </c>
      <c r="E133" s="112" t="n"/>
      <c r="F133" s="76" t="n"/>
      <c r="G133" s="76" t="n"/>
    </row>
    <row r="134" ht="15.75" customHeight="1" s="52">
      <c r="A134" s="108" t="n"/>
      <c r="B134" s="75" t="n"/>
      <c r="C134" s="75" t="n"/>
      <c r="D134" s="109">
        <f t="array" ref="D134:D134">IFERROR(INDEX(GroupLookup,MATCH(C134,CategoryList,0)),"")</f>
        <v/>
      </c>
      <c r="E134" s="110" t="n"/>
      <c r="F134" s="75" t="n"/>
      <c r="G134" s="75" t="n"/>
    </row>
    <row r="135" ht="15.75" customHeight="1" s="52">
      <c r="A135" s="114" t="n"/>
      <c r="B135" s="76" t="n"/>
      <c r="C135" s="76" t="n"/>
      <c r="D135" s="109">
        <f t="array" ref="D135:D135">IFERROR(INDEX(GroupLookup,MATCH(C135,CategoryList,0)),"")</f>
        <v/>
      </c>
      <c r="E135" s="112" t="n"/>
      <c r="F135" s="76" t="n"/>
      <c r="G135" s="76" t="n"/>
    </row>
    <row r="136" ht="15.75" customHeight="1" s="52">
      <c r="A136" s="108" t="n"/>
      <c r="B136" s="75" t="n"/>
      <c r="C136" s="75" t="n"/>
      <c r="D136" s="109">
        <f t="array" ref="D136:D136">IFERROR(INDEX(GroupLookup,MATCH(C136,CategoryList,0)),"")</f>
        <v/>
      </c>
      <c r="E136" s="110" t="n"/>
      <c r="F136" s="75" t="n"/>
      <c r="G136" s="75" t="n"/>
    </row>
    <row r="137" ht="15.75" customHeight="1" s="52">
      <c r="A137" s="114" t="n"/>
      <c r="B137" s="76" t="n"/>
      <c r="C137" s="76" t="n"/>
      <c r="D137" s="109">
        <f t="array" ref="D137:D137">IFERROR(INDEX(GroupLookup,MATCH(C137,CategoryList,0)),"")</f>
        <v/>
      </c>
      <c r="E137" s="112" t="n"/>
      <c r="F137" s="76" t="n"/>
      <c r="G137" s="76" t="n"/>
    </row>
    <row r="138" ht="15.75" customHeight="1" s="52">
      <c r="A138" s="108" t="n"/>
      <c r="B138" s="75" t="n"/>
      <c r="C138" s="75" t="n"/>
      <c r="D138" s="109">
        <f t="array" ref="D138:D138">IFERROR(INDEX(GroupLookup,MATCH(C138,CategoryList,0)),"")</f>
        <v/>
      </c>
      <c r="E138" s="110" t="n"/>
      <c r="F138" s="75" t="n"/>
      <c r="G138" s="75" t="n"/>
    </row>
    <row r="139" ht="15.75" customHeight="1" s="52">
      <c r="A139" s="114" t="n"/>
      <c r="B139" s="76" t="n"/>
      <c r="C139" s="76" t="n"/>
      <c r="D139" s="109">
        <f t="array" ref="D139:D139">IFERROR(INDEX(GroupLookup,MATCH(C139,CategoryList,0)),"")</f>
        <v/>
      </c>
      <c r="E139" s="112" t="n"/>
      <c r="F139" s="76" t="n"/>
      <c r="G139" s="76" t="n"/>
    </row>
    <row r="140" ht="15.75" customHeight="1" s="52">
      <c r="A140" s="108" t="n"/>
      <c r="B140" s="75" t="n"/>
      <c r="C140" s="75" t="n"/>
      <c r="D140" s="109">
        <f t="array" ref="D140:D140">IFERROR(INDEX(GroupLookup,MATCH(C140,CategoryList,0)),"")</f>
        <v/>
      </c>
      <c r="E140" s="110" t="n"/>
      <c r="F140" s="75" t="n"/>
      <c r="G140" s="75" t="n"/>
    </row>
    <row r="141" ht="15.75" customHeight="1" s="52">
      <c r="A141" s="114" t="n"/>
      <c r="B141" s="76" t="n"/>
      <c r="C141" s="76" t="n"/>
      <c r="D141" s="109">
        <f t="array" ref="D141:D141">IFERROR(INDEX(GroupLookup,MATCH(C141,CategoryList,0)),"")</f>
        <v/>
      </c>
      <c r="E141" s="112" t="n"/>
      <c r="F141" s="76" t="n"/>
      <c r="G141" s="76" t="n"/>
    </row>
    <row r="142" ht="15.75" customHeight="1" s="52">
      <c r="A142" s="108" t="n"/>
      <c r="B142" s="75" t="n"/>
      <c r="C142" s="75" t="n"/>
      <c r="D142" s="109">
        <f t="array" ref="D142:D142">IFERROR(INDEX(GroupLookup,MATCH(C142,CategoryList,0)),"")</f>
        <v/>
      </c>
      <c r="E142" s="110" t="n"/>
      <c r="F142" s="75" t="n"/>
      <c r="G142" s="75" t="n"/>
    </row>
    <row r="143" ht="15.75" customHeight="1" s="52">
      <c r="A143" s="114" t="n"/>
      <c r="B143" s="76" t="n"/>
      <c r="C143" s="76" t="n"/>
      <c r="D143" s="109">
        <f t="array" ref="D143:D143">IFERROR(INDEX(GroupLookup,MATCH(C143,CategoryList,0)),"")</f>
        <v/>
      </c>
      <c r="E143" s="112" t="n"/>
      <c r="F143" s="76" t="n"/>
      <c r="G143" s="76" t="n"/>
    </row>
    <row r="144" ht="15.75" customHeight="1" s="52">
      <c r="A144" s="108" t="n"/>
      <c r="B144" s="75" t="n"/>
      <c r="C144" s="75" t="n"/>
      <c r="D144" s="109">
        <f t="array" ref="D144:D144">IFERROR(INDEX(GroupLookup,MATCH(C144,CategoryList,0)),"")</f>
        <v/>
      </c>
      <c r="E144" s="110" t="n"/>
      <c r="F144" s="75" t="n"/>
      <c r="G144" s="75" t="n"/>
    </row>
    <row r="145" ht="15.75" customHeight="1" s="52">
      <c r="A145" s="114" t="n"/>
      <c r="B145" s="76" t="n"/>
      <c r="C145" s="76" t="n"/>
      <c r="D145" s="109">
        <f t="array" ref="D145:D145">IFERROR(INDEX(GroupLookup,MATCH(C145,CategoryList,0)),"")</f>
        <v/>
      </c>
      <c r="E145" s="112" t="n"/>
      <c r="F145" s="76" t="n"/>
      <c r="G145" s="76" t="n"/>
    </row>
    <row r="146" ht="15.75" customHeight="1" s="52">
      <c r="A146" s="108" t="n"/>
      <c r="B146" s="75" t="n"/>
      <c r="C146" s="75" t="n"/>
      <c r="D146" s="109">
        <f t="array" ref="D146:D146">IFERROR(INDEX(GroupLookup,MATCH(C146,CategoryList,0)),"")</f>
        <v/>
      </c>
      <c r="E146" s="110" t="n"/>
      <c r="F146" s="75" t="n"/>
      <c r="G146" s="75" t="n"/>
    </row>
    <row r="147" ht="15.75" customHeight="1" s="52">
      <c r="A147" s="114" t="n"/>
      <c r="B147" s="76" t="n"/>
      <c r="C147" s="76" t="n"/>
      <c r="D147" s="109">
        <f t="array" ref="D147:D147">IFERROR(INDEX(GroupLookup,MATCH(C147,CategoryList,0)),"")</f>
        <v/>
      </c>
      <c r="E147" s="112" t="n"/>
      <c r="F147" s="76" t="n"/>
      <c r="G147" s="76" t="n"/>
    </row>
    <row r="148" ht="15.75" customHeight="1" s="52">
      <c r="A148" s="108" t="n"/>
      <c r="B148" s="75" t="n"/>
      <c r="C148" s="75" t="n"/>
      <c r="D148" s="109">
        <f t="array" ref="D148:D148">IFERROR(INDEX(GroupLookup,MATCH(C148,CategoryList,0)),"")</f>
        <v/>
      </c>
      <c r="E148" s="110" t="n"/>
      <c r="F148" s="75" t="n"/>
      <c r="G148" s="75" t="n"/>
    </row>
    <row r="149" ht="15.75" customHeight="1" s="52">
      <c r="A149" s="114" t="n"/>
      <c r="B149" s="76" t="n"/>
      <c r="C149" s="76" t="n"/>
      <c r="D149" s="109">
        <f t="array" ref="D149:D149">IFERROR(INDEX(GroupLookup,MATCH(C149,CategoryList,0)),"")</f>
        <v/>
      </c>
      <c r="E149" s="112" t="n"/>
      <c r="F149" s="76" t="n"/>
      <c r="G149" s="76" t="n"/>
    </row>
    <row r="150" ht="15.75" customHeight="1" s="52">
      <c r="A150" s="108" t="n"/>
      <c r="B150" s="75" t="n"/>
      <c r="C150" s="75" t="n"/>
      <c r="D150" s="109">
        <f t="array" ref="D150:D150">IFERROR(INDEX(GroupLookup,MATCH(C150,CategoryList,0)),"")</f>
        <v/>
      </c>
      <c r="E150" s="110" t="n"/>
      <c r="F150" s="75" t="n"/>
      <c r="G150" s="75" t="n"/>
    </row>
    <row r="151" ht="15.75" customHeight="1" s="52">
      <c r="A151" s="114" t="n"/>
      <c r="B151" s="76" t="n"/>
      <c r="C151" s="76" t="n"/>
      <c r="D151" s="109">
        <f t="array" ref="D151:D151">IFERROR(INDEX(GroupLookup,MATCH(C151,CategoryList,0)),"")</f>
        <v/>
      </c>
      <c r="E151" s="112" t="n"/>
      <c r="F151" s="76" t="n"/>
      <c r="G151" s="76" t="n"/>
    </row>
    <row r="152" ht="15.75" customHeight="1" s="52">
      <c r="A152" s="108" t="n"/>
      <c r="B152" s="75" t="n"/>
      <c r="C152" s="75" t="n"/>
      <c r="D152" s="109">
        <f t="array" ref="D152:D152">IFERROR(INDEX(GroupLookup,MATCH(C152,CategoryList,0)),"")</f>
        <v/>
      </c>
      <c r="E152" s="110" t="n"/>
      <c r="F152" s="75" t="n"/>
      <c r="G152" s="75" t="n"/>
    </row>
    <row r="153" ht="15.75" customHeight="1" s="52">
      <c r="A153" s="114" t="n"/>
      <c r="B153" s="76" t="n"/>
      <c r="C153" s="76" t="n"/>
      <c r="D153" s="109">
        <f t="array" ref="D153:D153">IFERROR(INDEX(GroupLookup,MATCH(C153,CategoryList,0)),"")</f>
        <v/>
      </c>
      <c r="E153" s="112" t="n"/>
      <c r="F153" s="76" t="n"/>
      <c r="G153" s="76" t="n"/>
    </row>
    <row r="154" ht="15.75" customHeight="1" s="52">
      <c r="A154" s="108" t="n"/>
      <c r="B154" s="75" t="n"/>
      <c r="C154" s="75" t="n"/>
      <c r="D154" s="109">
        <f t="array" ref="D154:D154">IFERROR(INDEX(GroupLookup,MATCH(C154,CategoryList,0)),"")</f>
        <v/>
      </c>
      <c r="E154" s="110" t="n"/>
      <c r="F154" s="75" t="n"/>
      <c r="G154" s="75" t="n"/>
    </row>
    <row r="155" ht="15.75" customHeight="1" s="52">
      <c r="A155" s="114" t="n"/>
      <c r="B155" s="76" t="n"/>
      <c r="C155" s="76" t="n"/>
      <c r="D155" s="109">
        <f t="array" ref="D155:D155">IFERROR(INDEX(GroupLookup,MATCH(C155,CategoryList,0)),"")</f>
        <v/>
      </c>
      <c r="E155" s="112" t="n"/>
      <c r="F155" s="76" t="n"/>
      <c r="G155" s="76" t="n"/>
    </row>
    <row r="156" ht="15.75" customHeight="1" s="52">
      <c r="A156" s="108" t="n"/>
      <c r="B156" s="75" t="n"/>
      <c r="C156" s="75" t="n"/>
      <c r="D156" s="109">
        <f t="array" ref="D156:D156">IFERROR(INDEX(GroupLookup,MATCH(C156,CategoryList,0)),"")</f>
        <v/>
      </c>
      <c r="E156" s="110" t="n"/>
      <c r="F156" s="75" t="n"/>
      <c r="G156" s="75" t="n"/>
    </row>
    <row r="157" ht="15.75" customHeight="1" s="52">
      <c r="A157" s="114" t="n"/>
      <c r="B157" s="76" t="n"/>
      <c r="C157" s="76" t="n"/>
      <c r="D157" s="109">
        <f t="array" ref="D157:D157">IFERROR(INDEX(GroupLookup,MATCH(C157,CategoryList,0)),"")</f>
        <v/>
      </c>
      <c r="E157" s="112" t="n"/>
      <c r="F157" s="76" t="n"/>
      <c r="G157" s="76" t="n"/>
    </row>
    <row r="158" ht="15.75" customHeight="1" s="52">
      <c r="A158" s="108" t="n"/>
      <c r="B158" s="75" t="n"/>
      <c r="C158" s="75" t="n"/>
      <c r="D158" s="109">
        <f t="array" ref="D158:D158">IFERROR(INDEX(GroupLookup,MATCH(C158,CategoryList,0)),"")</f>
        <v/>
      </c>
      <c r="E158" s="110" t="n"/>
      <c r="F158" s="75" t="n"/>
      <c r="G158" s="75" t="n"/>
    </row>
    <row r="159" ht="15.75" customHeight="1" s="52">
      <c r="A159" s="114" t="n"/>
      <c r="B159" s="76" t="n"/>
      <c r="C159" s="76" t="n"/>
      <c r="D159" s="109">
        <f t="array" ref="D159:D159">IFERROR(INDEX(GroupLookup,MATCH(C159,CategoryList,0)),"")</f>
        <v/>
      </c>
      <c r="E159" s="112" t="n"/>
      <c r="F159" s="76" t="n"/>
      <c r="G159" s="76" t="n"/>
    </row>
    <row r="160" ht="15.75" customHeight="1" s="52">
      <c r="A160" s="108" t="n"/>
      <c r="B160" s="75" t="n"/>
      <c r="C160" s="75" t="n"/>
      <c r="D160" s="109">
        <f t="array" ref="D160:D160">IFERROR(INDEX(GroupLookup,MATCH(C160,CategoryList,0)),"")</f>
        <v/>
      </c>
      <c r="E160" s="110" t="n"/>
      <c r="F160" s="75" t="n"/>
      <c r="G160" s="75" t="n"/>
    </row>
    <row r="161" ht="15.75" customHeight="1" s="52">
      <c r="A161" s="114" t="n"/>
      <c r="B161" s="76" t="n"/>
      <c r="C161" s="76" t="n"/>
      <c r="D161" s="109">
        <f t="array" ref="D161:D161">IFERROR(INDEX(GroupLookup,MATCH(C161,CategoryList,0)),"")</f>
        <v/>
      </c>
      <c r="E161" s="112" t="n"/>
      <c r="F161" s="76" t="n"/>
      <c r="G161" s="76" t="n"/>
    </row>
    <row r="162" ht="15.75" customHeight="1" s="52">
      <c r="A162" s="108" t="n"/>
      <c r="B162" s="75" t="n"/>
      <c r="C162" s="75" t="n"/>
      <c r="D162" s="109">
        <f t="array" ref="D162:D162">IFERROR(INDEX(GroupLookup,MATCH(C162,CategoryList,0)),"")</f>
        <v/>
      </c>
      <c r="E162" s="110" t="n"/>
      <c r="F162" s="75" t="n"/>
      <c r="G162" s="75" t="n"/>
    </row>
    <row r="163" ht="15.75" customHeight="1" s="52">
      <c r="A163" s="114" t="n"/>
      <c r="B163" s="76" t="n"/>
      <c r="C163" s="76" t="n"/>
      <c r="D163" s="109">
        <f t="array" ref="D163:D163">IFERROR(INDEX(GroupLookup,MATCH(C163,CategoryList,0)),"")</f>
        <v/>
      </c>
      <c r="E163" s="112" t="n"/>
      <c r="F163" s="76" t="n"/>
      <c r="G163" s="76" t="n"/>
    </row>
    <row r="164" ht="15.75" customHeight="1" s="52">
      <c r="A164" s="108" t="n"/>
      <c r="B164" s="75" t="n"/>
      <c r="C164" s="75" t="n"/>
      <c r="D164" s="109">
        <f t="array" ref="D164:D164">IFERROR(INDEX(GroupLookup,MATCH(C164,CategoryList,0)),"")</f>
        <v/>
      </c>
      <c r="E164" s="110" t="n"/>
      <c r="F164" s="75" t="n"/>
      <c r="G164" s="75" t="n"/>
    </row>
    <row r="165" ht="15.75" customHeight="1" s="52">
      <c r="A165" s="114" t="n"/>
      <c r="B165" s="76" t="n"/>
      <c r="C165" s="76" t="n"/>
      <c r="D165" s="109">
        <f t="array" ref="D165:D165">IFERROR(INDEX(GroupLookup,MATCH(C165,CategoryList,0)),"")</f>
        <v/>
      </c>
      <c r="E165" s="112" t="n"/>
      <c r="F165" s="76" t="n"/>
      <c r="G165" s="76" t="n"/>
    </row>
    <row r="166" ht="15.75" customHeight="1" s="52">
      <c r="A166" s="108" t="n"/>
      <c r="B166" s="75" t="n"/>
      <c r="C166" s="75" t="n"/>
      <c r="D166" s="109">
        <f t="array" ref="D166:D166">IFERROR(INDEX(GroupLookup,MATCH(C166,CategoryList,0)),"")</f>
        <v/>
      </c>
      <c r="E166" s="110" t="n"/>
      <c r="F166" s="75" t="n"/>
      <c r="G166" s="75" t="n"/>
    </row>
    <row r="167" ht="15.75" customHeight="1" s="52">
      <c r="A167" s="114" t="n"/>
      <c r="B167" s="76" t="n"/>
      <c r="C167" s="76" t="n"/>
      <c r="D167" s="109">
        <f t="array" ref="D167:D167">IFERROR(INDEX(GroupLookup,MATCH(C167,CategoryList,0)),"")</f>
        <v/>
      </c>
      <c r="E167" s="112" t="n"/>
      <c r="F167" s="76" t="n"/>
      <c r="G167" s="76" t="n"/>
    </row>
    <row r="168" ht="15.75" customHeight="1" s="52">
      <c r="A168" s="108" t="n"/>
      <c r="B168" s="75" t="n"/>
      <c r="C168" s="75" t="n"/>
      <c r="D168" s="109">
        <f t="array" ref="D168:D168">IFERROR(INDEX(GroupLookup,MATCH(C168,CategoryList,0)),"")</f>
        <v/>
      </c>
      <c r="E168" s="110" t="n"/>
      <c r="F168" s="75" t="n"/>
      <c r="G168" s="75" t="n"/>
    </row>
    <row r="169" ht="15.75" customHeight="1" s="52">
      <c r="A169" s="114" t="n"/>
      <c r="B169" s="76" t="n"/>
      <c r="C169" s="76" t="n"/>
      <c r="D169" s="109">
        <f t="array" ref="D169:D169">IFERROR(INDEX(GroupLookup,MATCH(C169,CategoryList,0)),"")</f>
        <v/>
      </c>
      <c r="E169" s="112" t="n"/>
      <c r="F169" s="76" t="n"/>
      <c r="G169" s="76" t="n"/>
    </row>
    <row r="170" ht="15.75" customHeight="1" s="52">
      <c r="A170" s="108" t="n"/>
      <c r="B170" s="75" t="n"/>
      <c r="C170" s="75" t="n"/>
      <c r="D170" s="109">
        <f t="array" ref="D170:D170">IFERROR(INDEX(GroupLookup,MATCH(C170,CategoryList,0)),"")</f>
        <v/>
      </c>
      <c r="E170" s="110" t="n"/>
      <c r="F170" s="75" t="n"/>
      <c r="G170" s="75" t="n"/>
    </row>
    <row r="171" ht="15.75" customHeight="1" s="52">
      <c r="A171" s="114" t="n"/>
      <c r="B171" s="76" t="n"/>
      <c r="C171" s="76" t="n"/>
      <c r="D171" s="109">
        <f t="array" ref="D171:D171">IFERROR(INDEX(GroupLookup,MATCH(C171,CategoryList,0)),"")</f>
        <v/>
      </c>
      <c r="E171" s="112" t="n"/>
      <c r="F171" s="76" t="n"/>
      <c r="G171" s="76" t="n"/>
    </row>
    <row r="172" ht="15.75" customHeight="1" s="52">
      <c r="A172" s="108" t="n"/>
      <c r="B172" s="75" t="n"/>
      <c r="C172" s="75" t="n"/>
      <c r="D172" s="109">
        <f t="array" ref="D172:D172">IFERROR(INDEX(GroupLookup,MATCH(C172,CategoryList,0)),"")</f>
        <v/>
      </c>
      <c r="E172" s="110" t="n"/>
      <c r="F172" s="75" t="n"/>
      <c r="G172" s="75" t="n"/>
    </row>
    <row r="173" ht="15.75" customHeight="1" s="52">
      <c r="A173" s="114" t="n"/>
      <c r="B173" s="76" t="n"/>
      <c r="C173" s="76" t="n"/>
      <c r="D173" s="109">
        <f t="array" ref="D173:D173">IFERROR(INDEX(GroupLookup,MATCH(C173,CategoryList,0)),"")</f>
        <v/>
      </c>
      <c r="E173" s="112" t="n"/>
      <c r="F173" s="76" t="n"/>
      <c r="G173" s="76" t="n"/>
    </row>
    <row r="174" ht="15.75" customHeight="1" s="52">
      <c r="A174" s="108" t="n"/>
      <c r="B174" s="75" t="n"/>
      <c r="C174" s="75" t="n"/>
      <c r="D174" s="109">
        <f t="array" ref="D174:D174">IFERROR(INDEX(GroupLookup,MATCH(C174,CategoryList,0)),"")</f>
        <v/>
      </c>
      <c r="E174" s="110" t="n"/>
      <c r="F174" s="75" t="n"/>
      <c r="G174" s="75" t="n"/>
    </row>
    <row r="175" ht="15.75" customHeight="1" s="52">
      <c r="A175" s="114" t="n"/>
      <c r="B175" s="76" t="n"/>
      <c r="C175" s="76" t="n"/>
      <c r="D175" s="109">
        <f t="array" ref="D175:D175">IFERROR(INDEX(GroupLookup,MATCH(C175,CategoryList,0)),"")</f>
        <v/>
      </c>
      <c r="E175" s="112" t="n"/>
      <c r="F175" s="76" t="n"/>
      <c r="G175" s="76" t="n"/>
    </row>
    <row r="176" ht="15.75" customHeight="1" s="52">
      <c r="A176" s="108" t="n"/>
      <c r="B176" s="75" t="n"/>
      <c r="C176" s="75" t="n"/>
      <c r="D176" s="109">
        <f t="array" ref="D176:D176">IFERROR(INDEX(GroupLookup,MATCH(C176,CategoryList,0)),"")</f>
        <v/>
      </c>
      <c r="E176" s="110" t="n"/>
      <c r="F176" s="75" t="n"/>
      <c r="G176" s="75" t="n"/>
    </row>
    <row r="177" ht="15.75" customHeight="1" s="52">
      <c r="A177" s="114" t="n"/>
      <c r="B177" s="76" t="n"/>
      <c r="C177" s="76" t="n"/>
      <c r="D177" s="109">
        <f t="array" ref="D177:D177">IFERROR(INDEX(GroupLookup,MATCH(C177,CategoryList,0)),"")</f>
        <v/>
      </c>
      <c r="E177" s="112" t="n"/>
      <c r="F177" s="76" t="n"/>
      <c r="G177" s="76" t="n"/>
    </row>
    <row r="178" ht="15.75" customHeight="1" s="52">
      <c r="A178" s="108" t="n"/>
      <c r="B178" s="75" t="n"/>
      <c r="C178" s="75" t="n"/>
      <c r="D178" s="109">
        <f t="array" ref="D178:D178">IFERROR(INDEX(GroupLookup,MATCH(C178,CategoryList,0)),"")</f>
        <v/>
      </c>
      <c r="E178" s="110" t="n"/>
      <c r="F178" s="75" t="n"/>
      <c r="G178" s="75" t="n"/>
    </row>
    <row r="179" ht="15.75" customHeight="1" s="52">
      <c r="A179" s="114" t="n"/>
      <c r="B179" s="76" t="n"/>
      <c r="C179" s="76" t="n"/>
      <c r="D179" s="109">
        <f t="array" ref="D179:D179">IFERROR(INDEX(GroupLookup,MATCH(C179,CategoryList,0)),"")</f>
        <v/>
      </c>
      <c r="E179" s="112" t="n"/>
      <c r="F179" s="76" t="n"/>
      <c r="G179" s="76" t="n"/>
    </row>
    <row r="180" ht="15.75" customHeight="1" s="52">
      <c r="A180" s="108" t="n"/>
      <c r="B180" s="75" t="n"/>
      <c r="C180" s="75" t="n"/>
      <c r="D180" s="109">
        <f t="array" ref="D180:D180">IFERROR(INDEX(GroupLookup,MATCH(C180,CategoryList,0)),"")</f>
        <v/>
      </c>
      <c r="E180" s="110" t="n"/>
      <c r="F180" s="75" t="n"/>
      <c r="G180" s="75" t="n"/>
    </row>
    <row r="181" ht="15.75" customHeight="1" s="52">
      <c r="A181" s="114" t="n"/>
      <c r="B181" s="76" t="n"/>
      <c r="C181" s="76" t="n"/>
      <c r="D181" s="109">
        <f t="array" ref="D181:D181">IFERROR(INDEX(GroupLookup,MATCH(C181,CategoryList,0)),"")</f>
        <v/>
      </c>
      <c r="E181" s="112" t="n"/>
      <c r="F181" s="76" t="n"/>
      <c r="G181" s="76" t="n"/>
    </row>
    <row r="182" ht="15.75" customHeight="1" s="52">
      <c r="A182" s="108" t="n"/>
      <c r="B182" s="75" t="n"/>
      <c r="C182" s="75" t="n"/>
      <c r="D182" s="109">
        <f t="array" ref="D182:D182">IFERROR(INDEX(GroupLookup,MATCH(C182,CategoryList,0)),"")</f>
        <v/>
      </c>
      <c r="E182" s="110" t="n"/>
      <c r="F182" s="75" t="n"/>
      <c r="G182" s="75" t="n"/>
    </row>
    <row r="183" ht="15.75" customHeight="1" s="52">
      <c r="A183" s="114" t="n"/>
      <c r="B183" s="76" t="n"/>
      <c r="C183" s="76" t="n"/>
      <c r="D183" s="109">
        <f t="array" ref="D183:D183">IFERROR(INDEX(GroupLookup,MATCH(C183,CategoryList,0)),"")</f>
        <v/>
      </c>
      <c r="E183" s="112" t="n"/>
      <c r="F183" s="76" t="n"/>
      <c r="G183" s="76" t="n"/>
    </row>
    <row r="184" ht="15.75" customHeight="1" s="52">
      <c r="A184" s="108" t="n"/>
      <c r="B184" s="75" t="n"/>
      <c r="C184" s="75" t="n"/>
      <c r="D184" s="109">
        <f t="array" ref="D184:D184">IFERROR(INDEX(GroupLookup,MATCH(C184,CategoryList,0)),"")</f>
        <v/>
      </c>
      <c r="E184" s="110" t="n"/>
      <c r="F184" s="75" t="n"/>
      <c r="G184" s="75" t="n"/>
    </row>
    <row r="185" ht="15.75" customHeight="1" s="52">
      <c r="A185" s="114" t="n"/>
      <c r="B185" s="76" t="n"/>
      <c r="C185" s="76" t="n"/>
      <c r="D185" s="109">
        <f t="array" ref="D185:D185">IFERROR(INDEX(GroupLookup,MATCH(C185,CategoryList,0)),"")</f>
        <v/>
      </c>
      <c r="E185" s="112" t="n"/>
      <c r="F185" s="76" t="n"/>
      <c r="G185" s="76" t="n"/>
    </row>
    <row r="186" ht="15.75" customHeight="1" s="52">
      <c r="A186" s="108" t="n"/>
      <c r="B186" s="75" t="n"/>
      <c r="C186" s="75" t="n"/>
      <c r="D186" s="109">
        <f t="array" ref="D186:D186">IFERROR(INDEX(GroupLookup,MATCH(C186,CategoryList,0)),"")</f>
        <v/>
      </c>
      <c r="E186" s="110" t="n"/>
      <c r="F186" s="75" t="n"/>
      <c r="G186" s="75" t="n"/>
    </row>
    <row r="187" ht="15.75" customHeight="1" s="52">
      <c r="A187" s="114" t="n"/>
      <c r="B187" s="76" t="n"/>
      <c r="C187" s="76" t="n"/>
      <c r="D187" s="109">
        <f t="array" ref="D187:D187">IFERROR(INDEX(GroupLookup,MATCH(C187,CategoryList,0)),"")</f>
        <v/>
      </c>
      <c r="E187" s="112" t="n"/>
      <c r="F187" s="76" t="n"/>
      <c r="G187" s="76" t="n"/>
    </row>
    <row r="188" ht="15.75" customHeight="1" s="52">
      <c r="A188" s="108" t="n"/>
      <c r="B188" s="75" t="n"/>
      <c r="C188" s="75" t="n"/>
      <c r="D188" s="109">
        <f t="array" ref="D188:D188">IFERROR(INDEX(GroupLookup,MATCH(C188,CategoryList,0)),"")</f>
        <v/>
      </c>
      <c r="E188" s="110" t="n"/>
      <c r="F188" s="75" t="n"/>
      <c r="G188" s="75" t="n"/>
    </row>
    <row r="189" ht="15.75" customHeight="1" s="52">
      <c r="A189" s="114" t="n"/>
      <c r="B189" s="76" t="n"/>
      <c r="C189" s="76" t="n"/>
      <c r="D189" s="109">
        <f t="array" ref="D189:D189">IFERROR(INDEX(GroupLookup,MATCH(C189,CategoryList,0)),"")</f>
        <v/>
      </c>
      <c r="E189" s="112" t="n"/>
      <c r="F189" s="76" t="n"/>
      <c r="G189" s="76" t="n"/>
    </row>
    <row r="190" ht="15.75" customHeight="1" s="52">
      <c r="A190" s="108" t="n"/>
      <c r="B190" s="75" t="n"/>
      <c r="C190" s="75" t="n"/>
      <c r="D190" s="109">
        <f t="array" ref="D190:D190">IFERROR(INDEX(GroupLookup,MATCH(C190,CategoryList,0)),"")</f>
        <v/>
      </c>
      <c r="E190" s="110" t="n"/>
      <c r="F190" s="75" t="n"/>
      <c r="G190" s="75" t="n"/>
    </row>
    <row r="191" ht="15.75" customHeight="1" s="52">
      <c r="A191" s="114" t="n"/>
      <c r="B191" s="76" t="n"/>
      <c r="C191" s="76" t="n"/>
      <c r="D191" s="109">
        <f t="array" ref="D191:D191">IFERROR(INDEX(GroupLookup,MATCH(C191,CategoryList,0)),"")</f>
        <v/>
      </c>
      <c r="E191" s="112" t="n"/>
      <c r="F191" s="76" t="n"/>
      <c r="G191" s="76" t="n"/>
    </row>
    <row r="192" ht="15.75" customHeight="1" s="52">
      <c r="A192" s="108" t="n"/>
      <c r="B192" s="75" t="n"/>
      <c r="C192" s="75" t="n"/>
      <c r="D192" s="109">
        <f t="array" ref="D192:D192">IFERROR(INDEX(GroupLookup,MATCH(C192,CategoryList,0)),"")</f>
        <v/>
      </c>
      <c r="E192" s="110" t="n"/>
      <c r="F192" s="75" t="n"/>
      <c r="G192" s="75" t="n"/>
    </row>
    <row r="193" ht="15.75" customHeight="1" s="52">
      <c r="A193" s="114" t="n"/>
      <c r="B193" s="76" t="n"/>
      <c r="C193" s="76" t="n"/>
      <c r="D193" s="109">
        <f t="array" ref="D193:D193">IFERROR(INDEX(GroupLookup,MATCH(C193,CategoryList,0)),"")</f>
        <v/>
      </c>
      <c r="E193" s="112" t="n"/>
      <c r="F193" s="76" t="n"/>
      <c r="G193" s="76" t="n"/>
    </row>
    <row r="194" ht="15.75" customHeight="1" s="52">
      <c r="A194" s="108" t="n"/>
      <c r="B194" s="75" t="n"/>
      <c r="C194" s="75" t="n"/>
      <c r="D194" s="109">
        <f t="array" ref="D194:D194">IFERROR(INDEX(GroupLookup,MATCH(C194,CategoryList,0)),"")</f>
        <v/>
      </c>
      <c r="E194" s="110" t="n"/>
      <c r="F194" s="75" t="n"/>
      <c r="G194" s="75" t="n"/>
    </row>
    <row r="195" ht="15.75" customHeight="1" s="52">
      <c r="A195" s="114" t="n"/>
      <c r="B195" s="76" t="n"/>
      <c r="C195" s="76" t="n"/>
      <c r="D195" s="109">
        <f t="array" ref="D195:D195">IFERROR(INDEX(GroupLookup,MATCH(C195,CategoryList,0)),"")</f>
        <v/>
      </c>
      <c r="E195" s="112" t="n"/>
      <c r="F195" s="76" t="n"/>
      <c r="G195" s="76" t="n"/>
    </row>
    <row r="196" ht="15.75" customHeight="1" s="52">
      <c r="A196" s="108" t="n"/>
      <c r="B196" s="75" t="n"/>
      <c r="C196" s="75" t="n"/>
      <c r="D196" s="109">
        <f t="array" ref="D196:D196">IFERROR(INDEX(GroupLookup,MATCH(C196,CategoryList,0)),"")</f>
        <v/>
      </c>
      <c r="E196" s="110" t="n"/>
      <c r="F196" s="75" t="n"/>
      <c r="G196" s="75" t="n"/>
    </row>
    <row r="197" ht="15.75" customHeight="1" s="52">
      <c r="A197" s="114" t="n"/>
      <c r="B197" s="76" t="n"/>
      <c r="C197" s="76" t="n"/>
      <c r="D197" s="109">
        <f t="array" ref="D197:D197">IFERROR(INDEX(GroupLookup,MATCH(C197,CategoryList,0)),"")</f>
        <v/>
      </c>
      <c r="E197" s="112" t="n"/>
      <c r="F197" s="76" t="n"/>
      <c r="G197" s="76" t="n"/>
    </row>
    <row r="198" ht="15.75" customHeight="1" s="52">
      <c r="A198" s="108" t="n"/>
      <c r="B198" s="75" t="n"/>
      <c r="C198" s="75" t="n"/>
      <c r="D198" s="109">
        <f t="array" ref="D198:D198">IFERROR(INDEX(GroupLookup,MATCH(C198,CategoryList,0)),"")</f>
        <v/>
      </c>
      <c r="E198" s="110" t="n"/>
      <c r="F198" s="75" t="n"/>
      <c r="G198" s="75" t="n"/>
    </row>
    <row r="199" ht="15.75" customHeight="1" s="52">
      <c r="A199" s="114" t="n"/>
      <c r="B199" s="76" t="n"/>
      <c r="C199" s="76" t="n"/>
      <c r="D199" s="109">
        <f t="array" ref="D199:D199">IFERROR(INDEX(GroupLookup,MATCH(C199,CategoryList,0)),"")</f>
        <v/>
      </c>
      <c r="E199" s="112" t="n"/>
      <c r="F199" s="76" t="n"/>
      <c r="G199" s="76" t="n"/>
    </row>
    <row r="200" ht="15.75" customHeight="1" s="52">
      <c r="A200" s="108" t="n"/>
      <c r="B200" s="75" t="n"/>
      <c r="C200" s="75" t="n"/>
      <c r="D200" s="109">
        <f t="array" ref="D200:D200">IFERROR(INDEX(GroupLookup,MATCH(C200,CategoryList,0)),"")</f>
        <v/>
      </c>
      <c r="E200" s="110" t="n"/>
      <c r="F200" s="75" t="n"/>
      <c r="G200" s="75" t="n"/>
    </row>
    <row r="201" ht="15.75" customHeight="1" s="52">
      <c r="A201" s="114" t="n"/>
      <c r="B201" s="76" t="n"/>
      <c r="C201" s="76" t="n"/>
      <c r="D201" s="109">
        <f t="array" ref="D201:D201">IFERROR(INDEX(GroupLookup,MATCH(C201,CategoryList,0)),"")</f>
        <v/>
      </c>
      <c r="E201" s="112" t="n"/>
      <c r="F201" s="76" t="n"/>
      <c r="G201" s="76" t="n"/>
    </row>
    <row r="202" ht="15.75" customHeight="1" s="52">
      <c r="A202" s="108" t="n"/>
      <c r="B202" s="75" t="n"/>
      <c r="C202" s="75" t="n"/>
      <c r="D202" s="109">
        <f t="array" ref="D202:D202">IFERROR(INDEX(GroupLookup,MATCH(C202,CategoryList,0)),"")</f>
        <v/>
      </c>
      <c r="E202" s="110" t="n"/>
      <c r="F202" s="75" t="n"/>
      <c r="G202" s="75" t="n"/>
    </row>
    <row r="203" ht="15.75" customHeight="1" s="52">
      <c r="A203" s="114" t="n"/>
      <c r="B203" s="76" t="n"/>
      <c r="C203" s="76" t="n"/>
      <c r="D203" s="109">
        <f t="array" ref="D203:D203">IFERROR(INDEX(GroupLookup,MATCH(C203,CategoryList,0)),"")</f>
        <v/>
      </c>
      <c r="E203" s="112" t="n"/>
      <c r="F203" s="76" t="n"/>
      <c r="G203" s="76" t="n"/>
    </row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autoFilter ref="A3:G203"/>
  <mergeCells count="12">
    <mergeCell ref="A1:G1"/>
    <mergeCell ref="J20:K20"/>
    <mergeCell ref="I2:K2"/>
    <mergeCell ref="I14:K14"/>
    <mergeCell ref="J16:K16"/>
    <mergeCell ref="J15:K15"/>
    <mergeCell ref="I1:K1"/>
    <mergeCell ref="J18:K18"/>
    <mergeCell ref="J19:K19"/>
    <mergeCell ref="A2:G2"/>
    <mergeCell ref="I21:K21"/>
    <mergeCell ref="J17:K17"/>
  </mergeCells>
  <conditionalFormatting sqref="J13">
    <cfRule type="expression" rank="0" priority="2" equalAverage="0" aboveAverage="0" dxfId="0" text="" percent="0" bottom="0">
      <formula>$J$13&lt;&gt;0</formula>
    </cfRule>
  </conditionalFormatting>
  <conditionalFormatting sqref="A4:G203">
    <cfRule type="expression" rank="0" priority="3" equalAverage="0" aboveAverage="0" dxfId="7" text="" percent="0" bottom="0">
      <formula>AND($E4&gt;0,$D4="")</formula>
    </cfRule>
  </conditionalFormatting>
  <dataValidations count="4">
    <dataValidation sqref="C4:C203" showDropDown="0" showInputMessage="0" showErrorMessage="1" allowBlank="1" errorTitle="খাত তালিকায় নেই" error="ড্রপ-ডাউন থেকে একটি খাত বেছে নিন। তালিকার বাইরের খাত লিখলে ‘গ্রুপ’ কলাম খালি থাকবে এবং খরচটি গ্রুপভিত্তিক হিসাবে ধরা পড়বে না। নতুন খাত দরকার হলে ‘সেটিংস’ শিটে যোগ করুন।" type="list" errorStyle="stop" operator="between">
      <formula1>CategoryList</formula1>
      <formula2>0</formula2>
    </dataValidation>
    <dataValidation sqref="A4:A203" showDropDown="0" showInputMessage="0" showErrorMessage="1" allowBlank="1" errorTitle="তারিখ এই মাসের বাইরে" error="তারিখটি এই শিটের মাসের মধ্যে পড়ছে না। ভুল হলে ঠিক করুন, নয়তো ‘হ্যাঁ’ চেপে রেখে দিন।" type="date" errorStyle="warning" operator="between">
      <formula1>DATE(2026,1,1)</formula1>
      <formula2>DATE(2026,1,31)</formula2>
    </dataValidation>
    <dataValidation sqref="E4:E203" showDropDown="0" showInputMessage="0" showErrorMessage="1" allowBlank="1" errorTitle="পরিমাণ ঋণাত্মক হতে পারে না" error="শুধু শূন্য বা তার বেশি সংখ্যা লিখুন। টাকার চিহ্ন নিজে থেকে বসবে।" type="decimal" errorStyle="stop" operator="greaterThanOrEqual">
      <formula1>0</formula1>
      <formula2>0</formula2>
    </dataValidation>
    <dataValidation sqref="F4:F203" showDropDown="0" showInputMessage="0" showErrorMessage="1" allowBlank="1" errorTitle="পেমেন্ট মাধ্যম তালিকায় নেই" error="ড্রপ-ডাউন থেকে একটি পেমেন্ট মাধ্যম বেছে নিন।" type="list" errorStyle="stop" operator="between">
      <formula1>PaymentList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2E5C99"/>
    <outlinePr summaryBelow="1" summaryRight="1"/>
    <pageSetUpPr fitToPage="0"/>
  </sheetPr>
  <dimension ref="A1:K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3359375" defaultRowHeight="15" zeroHeight="0" outlineLevelRow="0"/>
  <cols>
    <col width="13" customWidth="1" style="51" min="1" max="1"/>
    <col width="34" customWidth="1" style="51" min="2" max="2"/>
    <col width="26" customWidth="1" style="51" min="3" max="3"/>
    <col width="24" customWidth="1" style="51" min="4" max="4"/>
    <col width="15" customWidth="1" style="51" min="5" max="5"/>
    <col width="20" customWidth="1" style="51" min="6" max="6"/>
    <col width="26" customWidth="1" style="51" min="7" max="7"/>
    <col width="3" customWidth="1" style="51" min="8" max="8"/>
    <col width="30" customWidth="1" style="51" min="9" max="9"/>
    <col width="17" customWidth="1" style="51" min="10" max="10"/>
    <col width="12" customWidth="1" style="51" min="11" max="11"/>
    <col width="8.710000000000001" customWidth="1" style="51" min="12" max="26"/>
  </cols>
  <sheetData>
    <row r="1" ht="25.5" customHeight="1" s="52">
      <c r="A1" s="104" t="inlineStr">
        <is>
          <t>দৈনিক খরচের হিসাব  —  ফেব্রুয়ারি ২০২৬</t>
        </is>
      </c>
      <c r="I1" s="105" t="inlineStr">
        <is>
          <t>মাসিক সারসংক্ষেপ</t>
        </is>
      </c>
    </row>
    <row r="2" ht="15.75" customHeight="1" s="52">
      <c r="A2" s="59" t="inlineStr">
        <is>
          <t>শুধু  তারিখ · বিবরণ · খাত · পরিমাণ · পেমেন্ট মাধ্যম · মন্তব্য  ঘরগুলো পূরণ করুন। ‘গ্রুপ’ কলাম স্বয়ংক্রিয়ভাবে পূরণ হবে।</t>
        </is>
      </c>
      <c r="I2" s="106" t="n"/>
    </row>
    <row r="3" ht="21.75" customHeight="1" s="52">
      <c r="A3" s="107" t="inlineStr">
        <is>
          <t>তারিখ</t>
        </is>
      </c>
      <c r="B3" s="107" t="inlineStr">
        <is>
          <t>বিবরণ</t>
        </is>
      </c>
      <c r="C3" s="107" t="inlineStr">
        <is>
          <t>খাত</t>
        </is>
      </c>
      <c r="D3" s="107" t="inlineStr">
        <is>
          <t>গ্রুপ</t>
        </is>
      </c>
      <c r="E3" s="107" t="inlineStr">
        <is>
          <t>পরিমাণ (৳)</t>
        </is>
      </c>
      <c r="F3" s="107" t="inlineStr">
        <is>
          <t>পেমেন্ট মাধ্যম</t>
        </is>
      </c>
      <c r="G3" s="107" t="inlineStr">
        <is>
          <t>মন্তব্য</t>
        </is>
      </c>
      <c r="I3" s="100" t="inlineStr">
        <is>
          <t>গ্রুপ (প্রধান খাত)</t>
        </is>
      </c>
      <c r="J3" s="100" t="inlineStr">
        <is>
          <t>মোট (৳)</t>
        </is>
      </c>
      <c r="K3" s="100" t="inlineStr">
        <is>
          <t>শতাংশ</t>
        </is>
      </c>
    </row>
    <row r="4" ht="15" customHeight="1" s="52">
      <c r="A4" s="108" t="n"/>
      <c r="B4" s="75" t="n"/>
      <c r="C4" s="75" t="n"/>
      <c r="D4" s="109">
        <f t="array" ref="D4:D4">IFERROR(INDEX(GroupLookup,MATCH(C4,CategoryList,0)),"")</f>
        <v/>
      </c>
      <c r="E4" s="110" t="n"/>
      <c r="F4" s="75" t="n"/>
      <c r="G4" s="75" t="n"/>
      <c r="I4" s="75" t="inlineStr">
        <is>
          <t>খাদ্য ও মুদি</t>
        </is>
      </c>
      <c r="J4" s="110">
        <f>SUMIF($D$4:$D$203,$I4,$E$4:$E$203)</f>
        <v/>
      </c>
      <c r="K4" s="111">
        <f>IFERROR($J4/$J$12,0)</f>
        <v/>
      </c>
    </row>
    <row r="5" ht="15" customHeight="1" s="52">
      <c r="A5" s="114" t="n"/>
      <c r="B5" s="76" t="n"/>
      <c r="C5" s="76" t="n"/>
      <c r="D5" s="109">
        <f t="array" ref="D5:D5">IFERROR(INDEX(GroupLookup,MATCH(C5,CategoryList,0)),"")</f>
        <v/>
      </c>
      <c r="E5" s="112" t="n"/>
      <c r="F5" s="76" t="n"/>
      <c r="G5" s="76" t="n"/>
      <c r="I5" s="76" t="inlineStr">
        <is>
          <t>বাসস্থান</t>
        </is>
      </c>
      <c r="J5" s="112">
        <f>SUMIF($D$4:$D$203,$I5,$E$4:$E$203)</f>
        <v/>
      </c>
      <c r="K5" s="113">
        <f>IFERROR($J5/$J$12,0)</f>
        <v/>
      </c>
    </row>
    <row r="6" ht="15" customHeight="1" s="52">
      <c r="A6" s="108" t="n"/>
      <c r="B6" s="75" t="n"/>
      <c r="C6" s="75" t="n"/>
      <c r="D6" s="109">
        <f t="array" ref="D6:D6">IFERROR(INDEX(GroupLookup,MATCH(C6,CategoryList,0)),"")</f>
        <v/>
      </c>
      <c r="E6" s="110" t="n"/>
      <c r="F6" s="75" t="n"/>
      <c r="G6" s="75" t="n"/>
      <c r="I6" s="75" t="inlineStr">
        <is>
          <t>ইউটিলিটি বিল</t>
        </is>
      </c>
      <c r="J6" s="110">
        <f>SUMIF($D$4:$D$203,$I6,$E$4:$E$203)</f>
        <v/>
      </c>
      <c r="K6" s="111">
        <f>IFERROR($J6/$J$12,0)</f>
        <v/>
      </c>
    </row>
    <row r="7" ht="15" customHeight="1" s="52">
      <c r="A7" s="114" t="n"/>
      <c r="B7" s="76" t="n"/>
      <c r="C7" s="76" t="n"/>
      <c r="D7" s="109">
        <f t="array" ref="D7:D7">IFERROR(INDEX(GroupLookup,MATCH(C7,CategoryList,0)),"")</f>
        <v/>
      </c>
      <c r="E7" s="112" t="n"/>
      <c r="F7" s="76" t="n"/>
      <c r="G7" s="76" t="n"/>
      <c r="I7" s="76" t="inlineStr">
        <is>
          <t>যাতায়াত</t>
        </is>
      </c>
      <c r="J7" s="112">
        <f>SUMIF($D$4:$D$203,$I7,$E$4:$E$203)</f>
        <v/>
      </c>
      <c r="K7" s="113">
        <f>IFERROR($J7/$J$12,0)</f>
        <v/>
      </c>
    </row>
    <row r="8" ht="15" customHeight="1" s="52">
      <c r="A8" s="108" t="n"/>
      <c r="B8" s="75" t="n"/>
      <c r="C8" s="75" t="n"/>
      <c r="D8" s="109">
        <f t="array" ref="D8:D8">IFERROR(INDEX(GroupLookup,MATCH(C8,CategoryList,0)),"")</f>
        <v/>
      </c>
      <c r="E8" s="110" t="n"/>
      <c r="F8" s="75" t="n"/>
      <c r="G8" s="75" t="n"/>
      <c r="I8" s="75" t="inlineStr">
        <is>
          <t>স্বাস্থ্য</t>
        </is>
      </c>
      <c r="J8" s="110">
        <f>SUMIF($D$4:$D$203,$I8,$E$4:$E$203)</f>
        <v/>
      </c>
      <c r="K8" s="111">
        <f>IFERROR($J8/$J$12,0)</f>
        <v/>
      </c>
    </row>
    <row r="9" ht="15" customHeight="1" s="52">
      <c r="A9" s="114" t="n"/>
      <c r="B9" s="76" t="n"/>
      <c r="C9" s="76" t="n"/>
      <c r="D9" s="109">
        <f t="array" ref="D9:D9">IFERROR(INDEX(GroupLookup,MATCH(C9,CategoryList,0)),"")</f>
        <v/>
      </c>
      <c r="E9" s="112" t="n"/>
      <c r="F9" s="76" t="n"/>
      <c r="G9" s="76" t="n"/>
      <c r="I9" s="76" t="inlineStr">
        <is>
          <t>শিক্ষা</t>
        </is>
      </c>
      <c r="J9" s="112">
        <f>SUMIF($D$4:$D$203,$I9,$E$4:$E$203)</f>
        <v/>
      </c>
      <c r="K9" s="113">
        <f>IFERROR($J9/$J$12,0)</f>
        <v/>
      </c>
    </row>
    <row r="10" ht="15" customHeight="1" s="52">
      <c r="A10" s="108" t="n"/>
      <c r="B10" s="75" t="n"/>
      <c r="C10" s="75" t="n"/>
      <c r="D10" s="109">
        <f t="array" ref="D10:D10">IFERROR(INDEX(GroupLookup,MATCH(C10,CategoryList,0)),"")</f>
        <v/>
      </c>
      <c r="E10" s="110" t="n"/>
      <c r="F10" s="75" t="n"/>
      <c r="G10" s="75" t="n"/>
      <c r="I10" s="75" t="inlineStr">
        <is>
          <t>ব্যক্তিগত ও গৃহস্থালি</t>
        </is>
      </c>
      <c r="J10" s="110">
        <f>SUMIF($D$4:$D$203,$I10,$E$4:$E$203)</f>
        <v/>
      </c>
      <c r="K10" s="111">
        <f>IFERROR($J10/$J$12,0)</f>
        <v/>
      </c>
    </row>
    <row r="11" ht="15" customHeight="1" s="52">
      <c r="A11" s="114" t="n"/>
      <c r="B11" s="76" t="n"/>
      <c r="C11" s="76" t="n"/>
      <c r="D11" s="109">
        <f t="array" ref="D11:D11">IFERROR(INDEX(GroupLookup,MATCH(C11,CategoryList,0)),"")</f>
        <v/>
      </c>
      <c r="E11" s="112" t="n"/>
      <c r="F11" s="76" t="n"/>
      <c r="G11" s="76" t="n"/>
      <c r="I11" s="76" t="inlineStr">
        <is>
          <t>অন্যান্য</t>
        </is>
      </c>
      <c r="J11" s="112">
        <f>SUMIF($D$4:$D$203,$I11,$E$4:$E$203)</f>
        <v/>
      </c>
      <c r="K11" s="113">
        <f>IFERROR($J11/$J$12,0)</f>
        <v/>
      </c>
    </row>
    <row r="12" ht="15" customHeight="1" s="52">
      <c r="A12" s="108" t="n"/>
      <c r="B12" s="75" t="n"/>
      <c r="C12" s="75" t="n"/>
      <c r="D12" s="109">
        <f t="array" ref="D12:D12">IFERROR(INDEX(GroupLookup,MATCH(C12,CategoryList,0)),"")</f>
        <v/>
      </c>
      <c r="E12" s="110" t="n"/>
      <c r="F12" s="75" t="n"/>
      <c r="G12" s="75" t="n"/>
      <c r="I12" s="72" t="inlineStr">
        <is>
          <t>মোট মাসিক ব্যয়</t>
        </is>
      </c>
      <c r="J12" s="117">
        <f>SUM($E$4:$E$203)</f>
        <v/>
      </c>
      <c r="K12" s="118">
        <f>IFERROR($J$12/$J$12,0)</f>
        <v/>
      </c>
    </row>
    <row r="13" ht="15" customHeight="1" s="52">
      <c r="A13" s="114" t="n"/>
      <c r="B13" s="76" t="n"/>
      <c r="C13" s="76" t="n"/>
      <c r="D13" s="109">
        <f t="array" ref="D13:D13">IFERROR(INDEX(GroupLookup,MATCH(C13,CategoryList,0)),"")</f>
        <v/>
      </c>
      <c r="E13" s="112" t="n"/>
      <c r="F13" s="76" t="n"/>
      <c r="G13" s="76" t="n"/>
      <c r="I13" s="74" t="inlineStr">
        <is>
          <t>শ্রেণিবিন্যাসহীন (খাত তালিকায় নেই)</t>
        </is>
      </c>
      <c r="J13" s="117">
        <f>$J$12-SUM($J$4:$J$11)</f>
        <v/>
      </c>
      <c r="K13" s="118">
        <f>IFERROR($J13/$J$12,0)</f>
        <v/>
      </c>
    </row>
    <row r="14" ht="25.5" customHeight="1" s="52">
      <c r="A14" s="108" t="n"/>
      <c r="B14" s="75" t="n"/>
      <c r="C14" s="75" t="n"/>
      <c r="D14" s="109">
        <f t="array" ref="D14:D14">IFERROR(INDEX(GroupLookup,MATCH(C14,CategoryList,0)),"")</f>
        <v/>
      </c>
      <c r="E14" s="110" t="n"/>
      <c r="F14" s="75" t="n"/>
      <c r="G14" s="75" t="n"/>
      <c r="I14" s="119" t="inlineStr">
        <is>
          <t>গুরুত্বপূর্ণ তথ্য</t>
        </is>
      </c>
    </row>
    <row r="15" ht="15" customHeight="1" s="52">
      <c r="A15" s="114" t="n"/>
      <c r="B15" s="76" t="n"/>
      <c r="C15" s="76" t="n"/>
      <c r="D15" s="109">
        <f t="array" ref="D15:D15">IFERROR(INDEX(GroupLookup,MATCH(C15,CategoryList,0)),"")</f>
        <v/>
      </c>
      <c r="E15" s="112" t="n"/>
      <c r="F15" s="76" t="n"/>
      <c r="G15" s="76" t="n"/>
      <c r="I15" s="67" t="inlineStr">
        <is>
          <t>মোট লেনদেন সংখ্যা</t>
        </is>
      </c>
      <c r="J15" s="120">
        <f>COUNT($E$4:$E$203)</f>
        <v/>
      </c>
      <c r="K15" s="62" t="n"/>
    </row>
    <row r="16" ht="15" customHeight="1" s="52">
      <c r="A16" s="108" t="n"/>
      <c r="B16" s="75" t="n"/>
      <c r="C16" s="75" t="n"/>
      <c r="D16" s="109">
        <f t="array" ref="D16:D16">IFERROR(INDEX(GroupLookup,MATCH(C16,CategoryList,0)),"")</f>
        <v/>
      </c>
      <c r="E16" s="110" t="n"/>
      <c r="F16" s="75" t="n"/>
      <c r="G16" s="75" t="n"/>
      <c r="I16" s="70" t="inlineStr">
        <is>
          <t>দৈনিক গড় খরচ</t>
        </is>
      </c>
      <c r="J16" s="121">
        <f>IFERROR($J$12/28,0)</f>
        <v/>
      </c>
      <c r="K16" s="62" t="n"/>
    </row>
    <row r="17" ht="15" customHeight="1" s="52">
      <c r="A17" s="114" t="n"/>
      <c r="B17" s="76" t="n"/>
      <c r="C17" s="76" t="n"/>
      <c r="D17" s="109">
        <f t="array" ref="D17:D17">IFERROR(INDEX(GroupLookup,MATCH(C17,CategoryList,0)),"")</f>
        <v/>
      </c>
      <c r="E17" s="112" t="n"/>
      <c r="F17" s="76" t="n"/>
      <c r="G17" s="76" t="n"/>
      <c r="I17" s="67" t="inlineStr">
        <is>
          <t>প্রতি লেনদেনে গড়</t>
        </is>
      </c>
      <c r="J17" s="122">
        <f>IFERROR($J$12/COUNT($E$4:$E$203),0)</f>
        <v/>
      </c>
      <c r="K17" s="62" t="n"/>
    </row>
    <row r="18" ht="15" customHeight="1" s="52">
      <c r="A18" s="108" t="n"/>
      <c r="B18" s="75" t="n"/>
      <c r="C18" s="75" t="n"/>
      <c r="D18" s="109">
        <f t="array" ref="D18:D18">IFERROR(INDEX(GroupLookup,MATCH(C18,CategoryList,0)),"")</f>
        <v/>
      </c>
      <c r="E18" s="110" t="n"/>
      <c r="F18" s="75" t="n"/>
      <c r="G18" s="75" t="n"/>
      <c r="I18" s="70" t="inlineStr">
        <is>
          <t>সর্বোচ্চ একক খরচ</t>
        </is>
      </c>
      <c r="J18" s="121">
        <f>IFERROR(MAX($E$4:$E$203),0)</f>
        <v/>
      </c>
      <c r="K18" s="62" t="n"/>
    </row>
    <row r="19" ht="15" customHeight="1" s="52">
      <c r="A19" s="114" t="n"/>
      <c r="B19" s="76" t="n"/>
      <c r="C19" s="76" t="n"/>
      <c r="D19" s="109">
        <f t="array" ref="D19:D19">IFERROR(INDEX(GroupLookup,MATCH(C19,CategoryList,0)),"")</f>
        <v/>
      </c>
      <c r="E19" s="112" t="n"/>
      <c r="F19" s="76" t="n"/>
      <c r="G19" s="76" t="n"/>
      <c r="I19" s="67" t="inlineStr">
        <is>
          <t>সর্বোচ্চ ব্যয়ের গ্রুপ</t>
        </is>
      </c>
      <c r="J19" s="123">
        <f t="array" ref="J19:J19">IF($J$12=0,"–",IFERROR(INDEX($I$4:$I$11,MATCH(MAX($J$4:$J$11),$J$4:$J$11,0)),"–"))</f>
        <v/>
      </c>
      <c r="K19" s="62" t="n"/>
    </row>
    <row r="20" ht="15" customHeight="1" s="52">
      <c r="A20" s="108" t="n"/>
      <c r="B20" s="75" t="n"/>
      <c r="C20" s="75" t="n"/>
      <c r="D20" s="109">
        <f t="array" ref="D20:D20">IFERROR(INDEX(GroupLookup,MATCH(C20,CategoryList,0)),"")</f>
        <v/>
      </c>
      <c r="E20" s="110" t="n"/>
      <c r="F20" s="75" t="n"/>
      <c r="G20" s="75" t="n"/>
      <c r="I20" s="70" t="inlineStr">
        <is>
          <t>সর্বোচ্চ ব্যয়ের খাত</t>
        </is>
      </c>
      <c r="J20" s="124">
        <f t="array" ref="J20:J20">IF($J$12=0,"–",IFERROR(INDEX($I$23:$I$76,MATCH(MAX($J$23:$J$76),$J$23:$J$76,0)),"–"))</f>
        <v/>
      </c>
      <c r="K20" s="62" t="n"/>
    </row>
    <row r="21" ht="25.5" customHeight="1" s="52">
      <c r="A21" s="114" t="n"/>
      <c r="B21" s="76" t="n"/>
      <c r="C21" s="76" t="n"/>
      <c r="D21" s="109">
        <f t="array" ref="D21:D21">IFERROR(INDEX(GroupLookup,MATCH(C21,CategoryList,0)),"")</f>
        <v/>
      </c>
      <c r="E21" s="112" t="n"/>
      <c r="F21" s="76" t="n"/>
      <c r="G21" s="76" t="n"/>
      <c r="I21" s="119" t="inlineStr">
        <is>
          <t>খাতভিত্তিক বিস্তারিত</t>
        </is>
      </c>
    </row>
    <row r="22" ht="15.75" customHeight="1" s="52">
      <c r="A22" s="108" t="n"/>
      <c r="B22" s="75" t="n"/>
      <c r="C22" s="75" t="n"/>
      <c r="D22" s="109">
        <f t="array" ref="D22:D22">IFERROR(INDEX(GroupLookup,MATCH(C22,CategoryList,0)),"")</f>
        <v/>
      </c>
      <c r="E22" s="110" t="n"/>
      <c r="F22" s="75" t="n"/>
      <c r="G22" s="75" t="n"/>
      <c r="I22" s="100" t="inlineStr">
        <is>
          <t>খাত</t>
        </is>
      </c>
      <c r="J22" s="100" t="inlineStr">
        <is>
          <t>মোট (৳)</t>
        </is>
      </c>
      <c r="K22" s="100" t="inlineStr">
        <is>
          <t>শতাংশ</t>
        </is>
      </c>
    </row>
    <row r="23" ht="15.75" customHeight="1" s="52">
      <c r="A23" s="114" t="n"/>
      <c r="B23" s="76" t="n"/>
      <c r="C23" s="76" t="n"/>
      <c r="D23" s="109">
        <f t="array" ref="D23:D23">IFERROR(INDEX(GroupLookup,MATCH(C23,CategoryList,0)),"")</f>
        <v/>
      </c>
      <c r="E23" s="112" t="n"/>
      <c r="F23" s="76" t="n"/>
      <c r="G23" s="76" t="n"/>
      <c r="I23" s="75" t="inlineStr">
        <is>
          <t>চাল</t>
        </is>
      </c>
      <c r="J23" s="110">
        <f>SUMIF($C$4:$C$203,$I23,$E$4:$E$203)</f>
        <v/>
      </c>
      <c r="K23" s="111">
        <f>IFERROR($J23/$J$12,0)</f>
        <v/>
      </c>
    </row>
    <row r="24" ht="15.75" customHeight="1" s="52">
      <c r="A24" s="108" t="n"/>
      <c r="B24" s="75" t="n"/>
      <c r="C24" s="75" t="n"/>
      <c r="D24" s="109">
        <f t="array" ref="D24:D24">IFERROR(INDEX(GroupLookup,MATCH(C24,CategoryList,0)),"")</f>
        <v/>
      </c>
      <c r="E24" s="110" t="n"/>
      <c r="F24" s="75" t="n"/>
      <c r="G24" s="75" t="n"/>
      <c r="I24" s="76" t="inlineStr">
        <is>
          <t>আটা ও ময়দা</t>
        </is>
      </c>
      <c r="J24" s="112">
        <f>SUMIF($C$4:$C$203,$I24,$E$4:$E$203)</f>
        <v/>
      </c>
      <c r="K24" s="113">
        <f>IFERROR($J24/$J$12,0)</f>
        <v/>
      </c>
    </row>
    <row r="25" ht="15.75" customHeight="1" s="52">
      <c r="A25" s="114" t="n"/>
      <c r="B25" s="76" t="n"/>
      <c r="C25" s="76" t="n"/>
      <c r="D25" s="109">
        <f t="array" ref="D25:D25">IFERROR(INDEX(GroupLookup,MATCH(C25,CategoryList,0)),"")</f>
        <v/>
      </c>
      <c r="E25" s="112" t="n"/>
      <c r="F25" s="76" t="n"/>
      <c r="G25" s="76" t="n"/>
      <c r="I25" s="75" t="inlineStr">
        <is>
          <t>ডাল</t>
        </is>
      </c>
      <c r="J25" s="110">
        <f>SUMIF($C$4:$C$203,$I25,$E$4:$E$203)</f>
        <v/>
      </c>
      <c r="K25" s="111">
        <f>IFERROR($J25/$J$12,0)</f>
        <v/>
      </c>
    </row>
    <row r="26" ht="15.75" customHeight="1" s="52">
      <c r="A26" s="108" t="n"/>
      <c r="B26" s="75" t="n"/>
      <c r="C26" s="75" t="n"/>
      <c r="D26" s="109">
        <f t="array" ref="D26:D26">IFERROR(INDEX(GroupLookup,MATCH(C26,CategoryList,0)),"")</f>
        <v/>
      </c>
      <c r="E26" s="110" t="n"/>
      <c r="F26" s="75" t="n"/>
      <c r="G26" s="75" t="n"/>
      <c r="I26" s="76" t="inlineStr">
        <is>
          <t>মাছ</t>
        </is>
      </c>
      <c r="J26" s="112">
        <f>SUMIF($C$4:$C$203,$I26,$E$4:$E$203)</f>
        <v/>
      </c>
      <c r="K26" s="113">
        <f>IFERROR($J26/$J$12,0)</f>
        <v/>
      </c>
    </row>
    <row r="27" ht="15.75" customHeight="1" s="52">
      <c r="A27" s="114" t="n"/>
      <c r="B27" s="76" t="n"/>
      <c r="C27" s="76" t="n"/>
      <c r="D27" s="109">
        <f t="array" ref="D27:D27">IFERROR(INDEX(GroupLookup,MATCH(C27,CategoryList,0)),"")</f>
        <v/>
      </c>
      <c r="E27" s="112" t="n"/>
      <c r="F27" s="76" t="n"/>
      <c r="G27" s="76" t="n"/>
      <c r="I27" s="75" t="inlineStr">
        <is>
          <t>মাংস</t>
        </is>
      </c>
      <c r="J27" s="110">
        <f>SUMIF($C$4:$C$203,$I27,$E$4:$E$203)</f>
        <v/>
      </c>
      <c r="K27" s="111">
        <f>IFERROR($J27/$J$12,0)</f>
        <v/>
      </c>
    </row>
    <row r="28" ht="15.75" customHeight="1" s="52">
      <c r="A28" s="108" t="n"/>
      <c r="B28" s="75" t="n"/>
      <c r="C28" s="75" t="n"/>
      <c r="D28" s="109">
        <f t="array" ref="D28:D28">IFERROR(INDEX(GroupLookup,MATCH(C28,CategoryList,0)),"")</f>
        <v/>
      </c>
      <c r="E28" s="110" t="n"/>
      <c r="F28" s="75" t="n"/>
      <c r="G28" s="75" t="n"/>
      <c r="I28" s="76" t="inlineStr">
        <is>
          <t>ডিম</t>
        </is>
      </c>
      <c r="J28" s="112">
        <f>SUMIF($C$4:$C$203,$I28,$E$4:$E$203)</f>
        <v/>
      </c>
      <c r="K28" s="113">
        <f>IFERROR($J28/$J$12,0)</f>
        <v/>
      </c>
    </row>
    <row r="29" ht="15.75" customHeight="1" s="52">
      <c r="A29" s="114" t="n"/>
      <c r="B29" s="76" t="n"/>
      <c r="C29" s="76" t="n"/>
      <c r="D29" s="109">
        <f t="array" ref="D29:D29">IFERROR(INDEX(GroupLookup,MATCH(C29,CategoryList,0)),"")</f>
        <v/>
      </c>
      <c r="E29" s="112" t="n"/>
      <c r="F29" s="76" t="n"/>
      <c r="G29" s="76" t="n"/>
      <c r="I29" s="75" t="inlineStr">
        <is>
          <t>দুধ ও দুগ্ধজাত পণ্য</t>
        </is>
      </c>
      <c r="J29" s="110">
        <f>SUMIF($C$4:$C$203,$I29,$E$4:$E$203)</f>
        <v/>
      </c>
      <c r="K29" s="111">
        <f>IFERROR($J29/$J$12,0)</f>
        <v/>
      </c>
    </row>
    <row r="30" ht="15.75" customHeight="1" s="52">
      <c r="A30" s="108" t="n"/>
      <c r="B30" s="75" t="n"/>
      <c r="C30" s="75" t="n"/>
      <c r="D30" s="109">
        <f t="array" ref="D30:D30">IFERROR(INDEX(GroupLookup,MATCH(C30,CategoryList,0)),"")</f>
        <v/>
      </c>
      <c r="E30" s="110" t="n"/>
      <c r="F30" s="75" t="n"/>
      <c r="G30" s="75" t="n"/>
      <c r="I30" s="76" t="inlineStr">
        <is>
          <t>ভোজ্য তেল</t>
        </is>
      </c>
      <c r="J30" s="112">
        <f>SUMIF($C$4:$C$203,$I30,$E$4:$E$203)</f>
        <v/>
      </c>
      <c r="K30" s="113">
        <f>IFERROR($J30/$J$12,0)</f>
        <v/>
      </c>
    </row>
    <row r="31" ht="15.75" customHeight="1" s="52">
      <c r="A31" s="114" t="n"/>
      <c r="B31" s="76" t="n"/>
      <c r="C31" s="76" t="n"/>
      <c r="D31" s="109">
        <f t="array" ref="D31:D31">IFERROR(INDEX(GroupLookup,MATCH(C31,CategoryList,0)),"")</f>
        <v/>
      </c>
      <c r="E31" s="112" t="n"/>
      <c r="F31" s="76" t="n"/>
      <c r="G31" s="76" t="n"/>
      <c r="I31" s="75" t="inlineStr">
        <is>
          <t>শাক-সবজি</t>
        </is>
      </c>
      <c r="J31" s="110">
        <f>SUMIF($C$4:$C$203,$I31,$E$4:$E$203)</f>
        <v/>
      </c>
      <c r="K31" s="111">
        <f>IFERROR($J31/$J$12,0)</f>
        <v/>
      </c>
    </row>
    <row r="32" ht="15.75" customHeight="1" s="52">
      <c r="A32" s="108" t="n"/>
      <c r="B32" s="75" t="n"/>
      <c r="C32" s="75" t="n"/>
      <c r="D32" s="109">
        <f t="array" ref="D32:D32">IFERROR(INDEX(GroupLookup,MATCH(C32,CategoryList,0)),"")</f>
        <v/>
      </c>
      <c r="E32" s="110" t="n"/>
      <c r="F32" s="75" t="n"/>
      <c r="G32" s="75" t="n"/>
      <c r="I32" s="76" t="inlineStr">
        <is>
          <t>ফলমূল</t>
        </is>
      </c>
      <c r="J32" s="112">
        <f>SUMIF($C$4:$C$203,$I32,$E$4:$E$203)</f>
        <v/>
      </c>
      <c r="K32" s="113">
        <f>IFERROR($J32/$J$12,0)</f>
        <v/>
      </c>
    </row>
    <row r="33" ht="15.75" customHeight="1" s="52">
      <c r="A33" s="114" t="n"/>
      <c r="B33" s="76" t="n"/>
      <c r="C33" s="76" t="n"/>
      <c r="D33" s="109">
        <f t="array" ref="D33:D33">IFERROR(INDEX(GroupLookup,MATCH(C33,CategoryList,0)),"")</f>
        <v/>
      </c>
      <c r="E33" s="112" t="n"/>
      <c r="F33" s="76" t="n"/>
      <c r="G33" s="76" t="n"/>
      <c r="I33" s="75" t="inlineStr">
        <is>
          <t>মসলা</t>
        </is>
      </c>
      <c r="J33" s="110">
        <f>SUMIF($C$4:$C$203,$I33,$E$4:$E$203)</f>
        <v/>
      </c>
      <c r="K33" s="111">
        <f>IFERROR($J33/$J$12,0)</f>
        <v/>
      </c>
    </row>
    <row r="34" ht="15.75" customHeight="1" s="52">
      <c r="A34" s="108" t="n"/>
      <c r="B34" s="75" t="n"/>
      <c r="C34" s="75" t="n"/>
      <c r="D34" s="109">
        <f t="array" ref="D34:D34">IFERROR(INDEX(GroupLookup,MATCH(C34,CategoryList,0)),"")</f>
        <v/>
      </c>
      <c r="E34" s="110" t="n"/>
      <c r="F34" s="75" t="n"/>
      <c r="G34" s="75" t="n"/>
      <c r="I34" s="76" t="inlineStr">
        <is>
          <t>চিনি ও লবণ</t>
        </is>
      </c>
      <c r="J34" s="112">
        <f>SUMIF($C$4:$C$203,$I34,$E$4:$E$203)</f>
        <v/>
      </c>
      <c r="K34" s="113">
        <f>IFERROR($J34/$J$12,0)</f>
        <v/>
      </c>
    </row>
    <row r="35" ht="15.75" customHeight="1" s="52">
      <c r="A35" s="114" t="n"/>
      <c r="B35" s="76" t="n"/>
      <c r="C35" s="76" t="n"/>
      <c r="D35" s="109">
        <f t="array" ref="D35:D35">IFERROR(INDEX(GroupLookup,MATCH(C35,CategoryList,0)),"")</f>
        <v/>
      </c>
      <c r="E35" s="112" t="n"/>
      <c r="F35" s="76" t="n"/>
      <c r="G35" s="76" t="n"/>
      <c r="I35" s="75" t="inlineStr">
        <is>
          <t>চা ও কফি</t>
        </is>
      </c>
      <c r="J35" s="110">
        <f>SUMIF($C$4:$C$203,$I35,$E$4:$E$203)</f>
        <v/>
      </c>
      <c r="K35" s="111">
        <f>IFERROR($J35/$J$12,0)</f>
        <v/>
      </c>
    </row>
    <row r="36" ht="15.75" customHeight="1" s="52">
      <c r="A36" s="108" t="n"/>
      <c r="B36" s="75" t="n"/>
      <c r="C36" s="75" t="n"/>
      <c r="D36" s="109">
        <f t="array" ref="D36:D36">IFERROR(INDEX(GroupLookup,MATCH(C36,CategoryList,0)),"")</f>
        <v/>
      </c>
      <c r="E36" s="110" t="n"/>
      <c r="F36" s="75" t="n"/>
      <c r="G36" s="75" t="n"/>
      <c r="I36" s="76" t="inlineStr">
        <is>
          <t>নাশতা ও বেকারি</t>
        </is>
      </c>
      <c r="J36" s="112">
        <f>SUMIF($C$4:$C$203,$I36,$E$4:$E$203)</f>
        <v/>
      </c>
      <c r="K36" s="113">
        <f>IFERROR($J36/$J$12,0)</f>
        <v/>
      </c>
    </row>
    <row r="37" ht="15.75" customHeight="1" s="52">
      <c r="A37" s="114" t="n"/>
      <c r="B37" s="76" t="n"/>
      <c r="C37" s="76" t="n"/>
      <c r="D37" s="109">
        <f t="array" ref="D37:D37">IFERROR(INDEX(GroupLookup,MATCH(C37,CategoryList,0)),"")</f>
        <v/>
      </c>
      <c r="E37" s="112" t="n"/>
      <c r="F37" s="76" t="n"/>
      <c r="G37" s="76" t="n"/>
      <c r="I37" s="75" t="inlineStr">
        <is>
          <t>বাইরে খাওয়া / রেস্তোরাঁ</t>
        </is>
      </c>
      <c r="J37" s="110">
        <f>SUMIF($C$4:$C$203,$I37,$E$4:$E$203)</f>
        <v/>
      </c>
      <c r="K37" s="111">
        <f>IFERROR($J37/$J$12,0)</f>
        <v/>
      </c>
    </row>
    <row r="38" ht="15.75" customHeight="1" s="52">
      <c r="A38" s="108" t="n"/>
      <c r="B38" s="75" t="n"/>
      <c r="C38" s="75" t="n"/>
      <c r="D38" s="109">
        <f t="array" ref="D38:D38">IFERROR(INDEX(GroupLookup,MATCH(C38,CategoryList,0)),"")</f>
        <v/>
      </c>
      <c r="E38" s="110" t="n"/>
      <c r="F38" s="75" t="n"/>
      <c r="G38" s="75" t="n"/>
      <c r="I38" s="76" t="inlineStr">
        <is>
          <t>বাড়ি ভাড়া</t>
        </is>
      </c>
      <c r="J38" s="112">
        <f>SUMIF($C$4:$C$203,$I38,$E$4:$E$203)</f>
        <v/>
      </c>
      <c r="K38" s="113">
        <f>IFERROR($J38/$J$12,0)</f>
        <v/>
      </c>
    </row>
    <row r="39" ht="15.75" customHeight="1" s="52">
      <c r="A39" s="114" t="n"/>
      <c r="B39" s="76" t="n"/>
      <c r="C39" s="76" t="n"/>
      <c r="D39" s="109">
        <f t="array" ref="D39:D39">IFERROR(INDEX(GroupLookup,MATCH(C39,CategoryList,0)),"")</f>
        <v/>
      </c>
      <c r="E39" s="112" t="n"/>
      <c r="F39" s="76" t="n"/>
      <c r="G39" s="76" t="n"/>
      <c r="I39" s="75" t="inlineStr">
        <is>
          <t>সার্ভিস চার্জ</t>
        </is>
      </c>
      <c r="J39" s="110">
        <f>SUMIF($C$4:$C$203,$I39,$E$4:$E$203)</f>
        <v/>
      </c>
      <c r="K39" s="111">
        <f>IFERROR($J39/$J$12,0)</f>
        <v/>
      </c>
    </row>
    <row r="40" ht="15.75" customHeight="1" s="52">
      <c r="A40" s="108" t="n"/>
      <c r="B40" s="75" t="n"/>
      <c r="C40" s="75" t="n"/>
      <c r="D40" s="109">
        <f t="array" ref="D40:D40">IFERROR(INDEX(GroupLookup,MATCH(C40,CategoryList,0)),"")</f>
        <v/>
      </c>
      <c r="E40" s="110" t="n"/>
      <c r="F40" s="75" t="n"/>
      <c r="G40" s="75" t="n"/>
      <c r="I40" s="76" t="inlineStr">
        <is>
          <t>বাড়ি মেরামত ও রক্ষণাবেক্ষণ</t>
        </is>
      </c>
      <c r="J40" s="112">
        <f>SUMIF($C$4:$C$203,$I40,$E$4:$E$203)</f>
        <v/>
      </c>
      <c r="K40" s="113">
        <f>IFERROR($J40/$J$12,0)</f>
        <v/>
      </c>
    </row>
    <row r="41" ht="15.75" customHeight="1" s="52">
      <c r="A41" s="114" t="n"/>
      <c r="B41" s="76" t="n"/>
      <c r="C41" s="76" t="n"/>
      <c r="D41" s="109">
        <f t="array" ref="D41:D41">IFERROR(INDEX(GroupLookup,MATCH(C41,CategoryList,0)),"")</f>
        <v/>
      </c>
      <c r="E41" s="112" t="n"/>
      <c r="F41" s="76" t="n"/>
      <c r="G41" s="76" t="n"/>
      <c r="I41" s="75" t="inlineStr">
        <is>
          <t>গৃহকর্মীর বেতন</t>
        </is>
      </c>
      <c r="J41" s="110">
        <f>SUMIF($C$4:$C$203,$I41,$E$4:$E$203)</f>
        <v/>
      </c>
      <c r="K41" s="111">
        <f>IFERROR($J41/$J$12,0)</f>
        <v/>
      </c>
    </row>
    <row r="42" ht="15.75" customHeight="1" s="52">
      <c r="A42" s="108" t="n"/>
      <c r="B42" s="75" t="n"/>
      <c r="C42" s="75" t="n"/>
      <c r="D42" s="109">
        <f t="array" ref="D42:D42">IFERROR(INDEX(GroupLookup,MATCH(C42,CategoryList,0)),"")</f>
        <v/>
      </c>
      <c r="E42" s="110" t="n"/>
      <c r="F42" s="75" t="n"/>
      <c r="G42" s="75" t="n"/>
      <c r="I42" s="76" t="inlineStr">
        <is>
          <t>আসবাবপত্র</t>
        </is>
      </c>
      <c r="J42" s="112">
        <f>SUMIF($C$4:$C$203,$I42,$E$4:$E$203)</f>
        <v/>
      </c>
      <c r="K42" s="113">
        <f>IFERROR($J42/$J$12,0)</f>
        <v/>
      </c>
    </row>
    <row r="43" ht="15.75" customHeight="1" s="52">
      <c r="A43" s="114" t="n"/>
      <c r="B43" s="76" t="n"/>
      <c r="C43" s="76" t="n"/>
      <c r="D43" s="109">
        <f t="array" ref="D43:D43">IFERROR(INDEX(GroupLookup,MATCH(C43,CategoryList,0)),"")</f>
        <v/>
      </c>
      <c r="E43" s="112" t="n"/>
      <c r="F43" s="76" t="n"/>
      <c r="G43" s="76" t="n"/>
      <c r="I43" s="75" t="inlineStr">
        <is>
          <t>বিদ্যুৎ বিল</t>
        </is>
      </c>
      <c r="J43" s="110">
        <f>SUMIF($C$4:$C$203,$I43,$E$4:$E$203)</f>
        <v/>
      </c>
      <c r="K43" s="111">
        <f>IFERROR($J43/$J$12,0)</f>
        <v/>
      </c>
    </row>
    <row r="44" ht="15.75" customHeight="1" s="52">
      <c r="A44" s="108" t="n"/>
      <c r="B44" s="75" t="n"/>
      <c r="C44" s="75" t="n"/>
      <c r="D44" s="109">
        <f t="array" ref="D44:D44">IFERROR(INDEX(GroupLookup,MATCH(C44,CategoryList,0)),"")</f>
        <v/>
      </c>
      <c r="E44" s="110" t="n"/>
      <c r="F44" s="75" t="n"/>
      <c r="G44" s="75" t="n"/>
      <c r="I44" s="76" t="inlineStr">
        <is>
          <t>গ্যাস বিল</t>
        </is>
      </c>
      <c r="J44" s="112">
        <f>SUMIF($C$4:$C$203,$I44,$E$4:$E$203)</f>
        <v/>
      </c>
      <c r="K44" s="113">
        <f>IFERROR($J44/$J$12,0)</f>
        <v/>
      </c>
    </row>
    <row r="45" ht="15.75" customHeight="1" s="52">
      <c r="A45" s="114" t="n"/>
      <c r="B45" s="76" t="n"/>
      <c r="C45" s="76" t="n"/>
      <c r="D45" s="109">
        <f t="array" ref="D45:D45">IFERROR(INDEX(GroupLookup,MATCH(C45,CategoryList,0)),"")</f>
        <v/>
      </c>
      <c r="E45" s="112" t="n"/>
      <c r="F45" s="76" t="n"/>
      <c r="G45" s="76" t="n"/>
      <c r="I45" s="75" t="inlineStr">
        <is>
          <t>পানির বিল</t>
        </is>
      </c>
      <c r="J45" s="110">
        <f>SUMIF($C$4:$C$203,$I45,$E$4:$E$203)</f>
        <v/>
      </c>
      <c r="K45" s="111">
        <f>IFERROR($J45/$J$12,0)</f>
        <v/>
      </c>
    </row>
    <row r="46" ht="15.75" customHeight="1" s="52">
      <c r="A46" s="108" t="n"/>
      <c r="B46" s="75" t="n"/>
      <c r="C46" s="75" t="n"/>
      <c r="D46" s="109">
        <f t="array" ref="D46:D46">IFERROR(INDEX(GroupLookup,MATCH(C46,CategoryList,0)),"")</f>
        <v/>
      </c>
      <c r="E46" s="110" t="n"/>
      <c r="F46" s="75" t="n"/>
      <c r="G46" s="75" t="n"/>
      <c r="I46" s="76" t="inlineStr">
        <is>
          <t>ইন্টারনেট বিল</t>
        </is>
      </c>
      <c r="J46" s="112">
        <f>SUMIF($C$4:$C$203,$I46,$E$4:$E$203)</f>
        <v/>
      </c>
      <c r="K46" s="113">
        <f>IFERROR($J46/$J$12,0)</f>
        <v/>
      </c>
    </row>
    <row r="47" ht="15.75" customHeight="1" s="52">
      <c r="A47" s="114" t="n"/>
      <c r="B47" s="76" t="n"/>
      <c r="C47" s="76" t="n"/>
      <c r="D47" s="109">
        <f t="array" ref="D47:D47">IFERROR(INDEX(GroupLookup,MATCH(C47,CategoryList,0)),"")</f>
        <v/>
      </c>
      <c r="E47" s="112" t="n"/>
      <c r="F47" s="76" t="n"/>
      <c r="G47" s="76" t="n"/>
      <c r="I47" s="75" t="inlineStr">
        <is>
          <t>মোবাইল রিচার্জ</t>
        </is>
      </c>
      <c r="J47" s="110">
        <f>SUMIF($C$4:$C$203,$I47,$E$4:$E$203)</f>
        <v/>
      </c>
      <c r="K47" s="111">
        <f>IFERROR($J47/$J$12,0)</f>
        <v/>
      </c>
    </row>
    <row r="48" ht="15.75" customHeight="1" s="52">
      <c r="A48" s="108" t="n"/>
      <c r="B48" s="75" t="n"/>
      <c r="C48" s="75" t="n"/>
      <c r="D48" s="109">
        <f t="array" ref="D48:D48">IFERROR(INDEX(GroupLookup,MATCH(C48,CategoryList,0)),"")</f>
        <v/>
      </c>
      <c r="E48" s="110" t="n"/>
      <c r="F48" s="75" t="n"/>
      <c r="G48" s="75" t="n"/>
      <c r="I48" s="76" t="inlineStr">
        <is>
          <t>ডিশ / ক্যাবল বিল</t>
        </is>
      </c>
      <c r="J48" s="112">
        <f>SUMIF($C$4:$C$203,$I48,$E$4:$E$203)</f>
        <v/>
      </c>
      <c r="K48" s="113">
        <f>IFERROR($J48/$J$12,0)</f>
        <v/>
      </c>
    </row>
    <row r="49" ht="15.75" customHeight="1" s="52">
      <c r="A49" s="114" t="n"/>
      <c r="B49" s="76" t="n"/>
      <c r="C49" s="76" t="n"/>
      <c r="D49" s="109">
        <f t="array" ref="D49:D49">IFERROR(INDEX(GroupLookup,MATCH(C49,CategoryList,0)),"")</f>
        <v/>
      </c>
      <c r="E49" s="112" t="n"/>
      <c r="F49" s="76" t="n"/>
      <c r="G49" s="76" t="n"/>
      <c r="I49" s="75" t="inlineStr">
        <is>
          <t>পৌর কর ও হোল্ডিং ট্যাক্স</t>
        </is>
      </c>
      <c r="J49" s="110">
        <f>SUMIF($C$4:$C$203,$I49,$E$4:$E$203)</f>
        <v/>
      </c>
      <c r="K49" s="111">
        <f>IFERROR($J49/$J$12,0)</f>
        <v/>
      </c>
    </row>
    <row r="50" ht="15.75" customHeight="1" s="52">
      <c r="A50" s="108" t="n"/>
      <c r="B50" s="75" t="n"/>
      <c r="C50" s="75" t="n"/>
      <c r="D50" s="109">
        <f t="array" ref="D50:D50">IFERROR(INDEX(GroupLookup,MATCH(C50,CategoryList,0)),"")</f>
        <v/>
      </c>
      <c r="E50" s="110" t="n"/>
      <c r="F50" s="75" t="n"/>
      <c r="G50" s="75" t="n"/>
      <c r="I50" s="76" t="inlineStr">
        <is>
          <t>ময়লা ও পরিচ্ছন্নতা বিল</t>
        </is>
      </c>
      <c r="J50" s="112">
        <f>SUMIF($C$4:$C$203,$I50,$E$4:$E$203)</f>
        <v/>
      </c>
      <c r="K50" s="113">
        <f>IFERROR($J50/$J$12,0)</f>
        <v/>
      </c>
    </row>
    <row r="51" ht="15.75" customHeight="1" s="52">
      <c r="A51" s="114" t="n"/>
      <c r="B51" s="76" t="n"/>
      <c r="C51" s="76" t="n"/>
      <c r="D51" s="109">
        <f t="array" ref="D51:D51">IFERROR(INDEX(GroupLookup,MATCH(C51,CategoryList,0)),"")</f>
        <v/>
      </c>
      <c r="E51" s="112" t="n"/>
      <c r="F51" s="76" t="n"/>
      <c r="G51" s="76" t="n"/>
      <c r="I51" s="75" t="inlineStr">
        <is>
          <t>রিকশা / সিএনজি</t>
        </is>
      </c>
      <c r="J51" s="110">
        <f>SUMIF($C$4:$C$203,$I51,$E$4:$E$203)</f>
        <v/>
      </c>
      <c r="K51" s="111">
        <f>IFERROR($J51/$J$12,0)</f>
        <v/>
      </c>
    </row>
    <row r="52" ht="15.75" customHeight="1" s="52">
      <c r="A52" s="108" t="n"/>
      <c r="B52" s="75" t="n"/>
      <c r="C52" s="75" t="n"/>
      <c r="D52" s="109">
        <f t="array" ref="D52:D52">IFERROR(INDEX(GroupLookup,MATCH(C52,CategoryList,0)),"")</f>
        <v/>
      </c>
      <c r="E52" s="110" t="n"/>
      <c r="F52" s="75" t="n"/>
      <c r="G52" s="75" t="n"/>
      <c r="I52" s="76" t="inlineStr">
        <is>
          <t>বাস / ট্রেন / লঞ্চ ভাড়া</t>
        </is>
      </c>
      <c r="J52" s="112">
        <f>SUMIF($C$4:$C$203,$I52,$E$4:$E$203)</f>
        <v/>
      </c>
      <c r="K52" s="113">
        <f>IFERROR($J52/$J$12,0)</f>
        <v/>
      </c>
    </row>
    <row r="53" ht="15.75" customHeight="1" s="52">
      <c r="A53" s="114" t="n"/>
      <c r="B53" s="76" t="n"/>
      <c r="C53" s="76" t="n"/>
      <c r="D53" s="109">
        <f t="array" ref="D53:D53">IFERROR(INDEX(GroupLookup,MATCH(C53,CategoryList,0)),"")</f>
        <v/>
      </c>
      <c r="E53" s="112" t="n"/>
      <c r="F53" s="76" t="n"/>
      <c r="G53" s="76" t="n"/>
      <c r="I53" s="75" t="inlineStr">
        <is>
          <t>রাইড শেয়ারিং</t>
        </is>
      </c>
      <c r="J53" s="110">
        <f>SUMIF($C$4:$C$203,$I53,$E$4:$E$203)</f>
        <v/>
      </c>
      <c r="K53" s="111">
        <f>IFERROR($J53/$J$12,0)</f>
        <v/>
      </c>
    </row>
    <row r="54" ht="15.75" customHeight="1" s="52">
      <c r="A54" s="108" t="n"/>
      <c r="B54" s="75" t="n"/>
      <c r="C54" s="75" t="n"/>
      <c r="D54" s="109">
        <f t="array" ref="D54:D54">IFERROR(INDEX(GroupLookup,MATCH(C54,CategoryList,0)),"")</f>
        <v/>
      </c>
      <c r="E54" s="110" t="n"/>
      <c r="F54" s="75" t="n"/>
      <c r="G54" s="75" t="n"/>
      <c r="I54" s="76" t="inlineStr">
        <is>
          <t>জ্বালানি (পেট্রোল / ডিজেল)</t>
        </is>
      </c>
      <c r="J54" s="112">
        <f>SUMIF($C$4:$C$203,$I54,$E$4:$E$203)</f>
        <v/>
      </c>
      <c r="K54" s="113">
        <f>IFERROR($J54/$J$12,0)</f>
        <v/>
      </c>
    </row>
    <row r="55" ht="15.75" customHeight="1" s="52">
      <c r="A55" s="114" t="n"/>
      <c r="B55" s="76" t="n"/>
      <c r="C55" s="76" t="n"/>
      <c r="D55" s="109">
        <f t="array" ref="D55:D55">IFERROR(INDEX(GroupLookup,MATCH(C55,CategoryList,0)),"")</f>
        <v/>
      </c>
      <c r="E55" s="112" t="n"/>
      <c r="F55" s="76" t="n"/>
      <c r="G55" s="76" t="n"/>
      <c r="I55" s="75" t="inlineStr">
        <is>
          <t>গাড়ি / বাইক রক্ষণাবেক্ষণ</t>
        </is>
      </c>
      <c r="J55" s="110">
        <f>SUMIF($C$4:$C$203,$I55,$E$4:$E$203)</f>
        <v/>
      </c>
      <c r="K55" s="111">
        <f>IFERROR($J55/$J$12,0)</f>
        <v/>
      </c>
    </row>
    <row r="56" ht="15.75" customHeight="1" s="52">
      <c r="A56" s="108" t="n"/>
      <c r="B56" s="75" t="n"/>
      <c r="C56" s="75" t="n"/>
      <c r="D56" s="109">
        <f t="array" ref="D56:D56">IFERROR(INDEX(GroupLookup,MATCH(C56,CategoryList,0)),"")</f>
        <v/>
      </c>
      <c r="E56" s="110" t="n"/>
      <c r="F56" s="75" t="n"/>
      <c r="G56" s="75" t="n"/>
      <c r="I56" s="76" t="inlineStr">
        <is>
          <t>পার্কিং ও টোল</t>
        </is>
      </c>
      <c r="J56" s="112">
        <f>SUMIF($C$4:$C$203,$I56,$E$4:$E$203)</f>
        <v/>
      </c>
      <c r="K56" s="113">
        <f>IFERROR($J56/$J$12,0)</f>
        <v/>
      </c>
    </row>
    <row r="57" ht="15.75" customHeight="1" s="52">
      <c r="A57" s="114" t="n"/>
      <c r="B57" s="76" t="n"/>
      <c r="C57" s="76" t="n"/>
      <c r="D57" s="109">
        <f t="array" ref="D57:D57">IFERROR(INDEX(GroupLookup,MATCH(C57,CategoryList,0)),"")</f>
        <v/>
      </c>
      <c r="E57" s="112" t="n"/>
      <c r="F57" s="76" t="n"/>
      <c r="G57" s="76" t="n"/>
      <c r="I57" s="75" t="inlineStr">
        <is>
          <t>ওষুধ</t>
        </is>
      </c>
      <c r="J57" s="110">
        <f>SUMIF($C$4:$C$203,$I57,$E$4:$E$203)</f>
        <v/>
      </c>
      <c r="K57" s="111">
        <f>IFERROR($J57/$J$12,0)</f>
        <v/>
      </c>
    </row>
    <row r="58" ht="15.75" customHeight="1" s="52">
      <c r="A58" s="108" t="n"/>
      <c r="B58" s="75" t="n"/>
      <c r="C58" s="75" t="n"/>
      <c r="D58" s="109">
        <f t="array" ref="D58:D58">IFERROR(INDEX(GroupLookup,MATCH(C58,CategoryList,0)),"")</f>
        <v/>
      </c>
      <c r="E58" s="110" t="n"/>
      <c r="F58" s="75" t="n"/>
      <c r="G58" s="75" t="n"/>
      <c r="I58" s="76" t="inlineStr">
        <is>
          <t>ডাক্তারের ফি</t>
        </is>
      </c>
      <c r="J58" s="112">
        <f>SUMIF($C$4:$C$203,$I58,$E$4:$E$203)</f>
        <v/>
      </c>
      <c r="K58" s="113">
        <f>IFERROR($J58/$J$12,0)</f>
        <v/>
      </c>
    </row>
    <row r="59" ht="15.75" customHeight="1" s="52">
      <c r="A59" s="114" t="n"/>
      <c r="B59" s="76" t="n"/>
      <c r="C59" s="76" t="n"/>
      <c r="D59" s="109">
        <f t="array" ref="D59:D59">IFERROR(INDEX(GroupLookup,MATCH(C59,CategoryList,0)),"")</f>
        <v/>
      </c>
      <c r="E59" s="112" t="n"/>
      <c r="F59" s="76" t="n"/>
      <c r="G59" s="76" t="n"/>
      <c r="I59" s="75" t="inlineStr">
        <is>
          <t>চিকিৎসা পরীক্ষা</t>
        </is>
      </c>
      <c r="J59" s="110">
        <f>SUMIF($C$4:$C$203,$I59,$E$4:$E$203)</f>
        <v/>
      </c>
      <c r="K59" s="111">
        <f>IFERROR($J59/$J$12,0)</f>
        <v/>
      </c>
    </row>
    <row r="60" ht="15.75" customHeight="1" s="52">
      <c r="A60" s="108" t="n"/>
      <c r="B60" s="75" t="n"/>
      <c r="C60" s="75" t="n"/>
      <c r="D60" s="109">
        <f t="array" ref="D60:D60">IFERROR(INDEX(GroupLookup,MATCH(C60,CategoryList,0)),"")</f>
        <v/>
      </c>
      <c r="E60" s="110" t="n"/>
      <c r="F60" s="75" t="n"/>
      <c r="G60" s="75" t="n"/>
      <c r="I60" s="76" t="inlineStr">
        <is>
          <t>স্বাস্থ্য বীমা</t>
        </is>
      </c>
      <c r="J60" s="112">
        <f>SUMIF($C$4:$C$203,$I60,$E$4:$E$203)</f>
        <v/>
      </c>
      <c r="K60" s="113">
        <f>IFERROR($J60/$J$12,0)</f>
        <v/>
      </c>
    </row>
    <row r="61" ht="15.75" customHeight="1" s="52">
      <c r="A61" s="114" t="n"/>
      <c r="B61" s="76" t="n"/>
      <c r="C61" s="76" t="n"/>
      <c r="D61" s="109">
        <f t="array" ref="D61:D61">IFERROR(INDEX(GroupLookup,MATCH(C61,CategoryList,0)),"")</f>
        <v/>
      </c>
      <c r="E61" s="112" t="n"/>
      <c r="F61" s="76" t="n"/>
      <c r="G61" s="76" t="n"/>
      <c r="I61" s="75" t="inlineStr">
        <is>
          <t>স্কুল / কলেজ ফি</t>
        </is>
      </c>
      <c r="J61" s="110">
        <f>SUMIF($C$4:$C$203,$I61,$E$4:$E$203)</f>
        <v/>
      </c>
      <c r="K61" s="111">
        <f>IFERROR($J61/$J$12,0)</f>
        <v/>
      </c>
    </row>
    <row r="62" ht="15.75" customHeight="1" s="52">
      <c r="A62" s="108" t="n"/>
      <c r="B62" s="75" t="n"/>
      <c r="C62" s="75" t="n"/>
      <c r="D62" s="109">
        <f t="array" ref="D62:D62">IFERROR(INDEX(GroupLookup,MATCH(C62,CategoryList,0)),"")</f>
        <v/>
      </c>
      <c r="E62" s="110" t="n"/>
      <c r="F62" s="75" t="n"/>
      <c r="G62" s="75" t="n"/>
      <c r="I62" s="76" t="inlineStr">
        <is>
          <t>প্রাইভেট / কোচিং</t>
        </is>
      </c>
      <c r="J62" s="112">
        <f>SUMIF($C$4:$C$203,$I62,$E$4:$E$203)</f>
        <v/>
      </c>
      <c r="K62" s="113">
        <f>IFERROR($J62/$J$12,0)</f>
        <v/>
      </c>
    </row>
    <row r="63" ht="15.75" customHeight="1" s="52">
      <c r="A63" s="114" t="n"/>
      <c r="B63" s="76" t="n"/>
      <c r="C63" s="76" t="n"/>
      <c r="D63" s="109">
        <f t="array" ref="D63:D63">IFERROR(INDEX(GroupLookup,MATCH(C63,CategoryList,0)),"")</f>
        <v/>
      </c>
      <c r="E63" s="112" t="n"/>
      <c r="F63" s="76" t="n"/>
      <c r="G63" s="76" t="n"/>
      <c r="I63" s="75" t="inlineStr">
        <is>
          <t>বই ও শিক্ষা উপকরণ</t>
        </is>
      </c>
      <c r="J63" s="110">
        <f>SUMIF($C$4:$C$203,$I63,$E$4:$E$203)</f>
        <v/>
      </c>
      <c r="K63" s="111">
        <f>IFERROR($J63/$J$12,0)</f>
        <v/>
      </c>
    </row>
    <row r="64" ht="15.75" customHeight="1" s="52">
      <c r="A64" s="108" t="n"/>
      <c r="B64" s="75" t="n"/>
      <c r="C64" s="75" t="n"/>
      <c r="D64" s="109">
        <f t="array" ref="D64:D64">IFERROR(INDEX(GroupLookup,MATCH(C64,CategoryList,0)),"")</f>
        <v/>
      </c>
      <c r="E64" s="110" t="n"/>
      <c r="F64" s="75" t="n"/>
      <c r="G64" s="75" t="n"/>
      <c r="I64" s="76" t="inlineStr">
        <is>
          <t>পরীক্ষার ফি</t>
        </is>
      </c>
      <c r="J64" s="112">
        <f>SUMIF($C$4:$C$203,$I64,$E$4:$E$203)</f>
        <v/>
      </c>
      <c r="K64" s="113">
        <f>IFERROR($J64/$J$12,0)</f>
        <v/>
      </c>
    </row>
    <row r="65" ht="15.75" customHeight="1" s="52">
      <c r="A65" s="114" t="n"/>
      <c r="B65" s="76" t="n"/>
      <c r="C65" s="76" t="n"/>
      <c r="D65" s="109">
        <f t="array" ref="D65:D65">IFERROR(INDEX(GroupLookup,MATCH(C65,CategoryList,0)),"")</f>
        <v/>
      </c>
      <c r="E65" s="112" t="n"/>
      <c r="F65" s="76" t="n"/>
      <c r="G65" s="76" t="n"/>
      <c r="I65" s="75" t="inlineStr">
        <is>
          <t>পোশাক ও জুতা</t>
        </is>
      </c>
      <c r="J65" s="110">
        <f>SUMIF($C$4:$C$203,$I65,$E$4:$E$203)</f>
        <v/>
      </c>
      <c r="K65" s="111">
        <f>IFERROR($J65/$J$12,0)</f>
        <v/>
      </c>
    </row>
    <row r="66" ht="15.75" customHeight="1" s="52">
      <c r="A66" s="108" t="n"/>
      <c r="B66" s="75" t="n"/>
      <c r="C66" s="75" t="n"/>
      <c r="D66" s="109">
        <f t="array" ref="D66:D66">IFERROR(INDEX(GroupLookup,MATCH(C66,CategoryList,0)),"")</f>
        <v/>
      </c>
      <c r="E66" s="110" t="n"/>
      <c r="F66" s="75" t="n"/>
      <c r="G66" s="75" t="n"/>
      <c r="I66" s="76" t="inlineStr">
        <is>
          <t>প্রসাধনী ও পরিচর্যা</t>
        </is>
      </c>
      <c r="J66" s="112">
        <f>SUMIF($C$4:$C$203,$I66,$E$4:$E$203)</f>
        <v/>
      </c>
      <c r="K66" s="113">
        <f>IFERROR($J66/$J$12,0)</f>
        <v/>
      </c>
    </row>
    <row r="67" ht="15.75" customHeight="1" s="52">
      <c r="A67" s="114" t="n"/>
      <c r="B67" s="76" t="n"/>
      <c r="C67" s="76" t="n"/>
      <c r="D67" s="109">
        <f t="array" ref="D67:D67">IFERROR(INDEX(GroupLookup,MATCH(C67,CategoryList,0)),"")</f>
        <v/>
      </c>
      <c r="E67" s="112" t="n"/>
      <c r="F67" s="76" t="n"/>
      <c r="G67" s="76" t="n"/>
      <c r="I67" s="75" t="inlineStr">
        <is>
          <t>সাবান ও ডিটারজেন্ট</t>
        </is>
      </c>
      <c r="J67" s="110">
        <f>SUMIF($C$4:$C$203,$I67,$E$4:$E$203)</f>
        <v/>
      </c>
      <c r="K67" s="111">
        <f>IFERROR($J67/$J$12,0)</f>
        <v/>
      </c>
    </row>
    <row r="68" ht="15.75" customHeight="1" s="52">
      <c r="A68" s="108" t="n"/>
      <c r="B68" s="75" t="n"/>
      <c r="C68" s="75" t="n"/>
      <c r="D68" s="109">
        <f t="array" ref="D68:D68">IFERROR(INDEX(GroupLookup,MATCH(C68,CategoryList,0)),"")</f>
        <v/>
      </c>
      <c r="E68" s="110" t="n"/>
      <c r="F68" s="75" t="n"/>
      <c r="G68" s="75" t="n"/>
      <c r="I68" s="76" t="inlineStr">
        <is>
          <t>গৃহস্থালি সামগ্রী</t>
        </is>
      </c>
      <c r="J68" s="112">
        <f>SUMIF($C$4:$C$203,$I68,$E$4:$E$203)</f>
        <v/>
      </c>
      <c r="K68" s="113">
        <f>IFERROR($J68/$J$12,0)</f>
        <v/>
      </c>
    </row>
    <row r="69" ht="15.75" customHeight="1" s="52">
      <c r="A69" s="114" t="n"/>
      <c r="B69" s="76" t="n"/>
      <c r="C69" s="76" t="n"/>
      <c r="D69" s="109">
        <f t="array" ref="D69:D69">IFERROR(INDEX(GroupLookup,MATCH(C69,CategoryList,0)),"")</f>
        <v/>
      </c>
      <c r="E69" s="112" t="n"/>
      <c r="F69" s="76" t="n"/>
      <c r="G69" s="76" t="n"/>
      <c r="I69" s="75" t="inlineStr">
        <is>
          <t>সেলুন / পার্লার</t>
        </is>
      </c>
      <c r="J69" s="110">
        <f>SUMIF($C$4:$C$203,$I69,$E$4:$E$203)</f>
        <v/>
      </c>
      <c r="K69" s="111">
        <f>IFERROR($J69/$J$12,0)</f>
        <v/>
      </c>
    </row>
    <row r="70" ht="15.75" customHeight="1" s="52">
      <c r="A70" s="108" t="n"/>
      <c r="B70" s="75" t="n"/>
      <c r="C70" s="75" t="n"/>
      <c r="D70" s="109">
        <f t="array" ref="D70:D70">IFERROR(INDEX(GroupLookup,MATCH(C70,CategoryList,0)),"")</f>
        <v/>
      </c>
      <c r="E70" s="110" t="n"/>
      <c r="F70" s="75" t="n"/>
      <c r="G70" s="75" t="n"/>
      <c r="I70" s="76" t="inlineStr">
        <is>
          <t>বিনোদন ও ঘোরাঘুরি</t>
        </is>
      </c>
      <c r="J70" s="112">
        <f>SUMIF($C$4:$C$203,$I70,$E$4:$E$203)</f>
        <v/>
      </c>
      <c r="K70" s="113">
        <f>IFERROR($J70/$J$12,0)</f>
        <v/>
      </c>
    </row>
    <row r="71" ht="15.75" customHeight="1" s="52">
      <c r="A71" s="114" t="n"/>
      <c r="B71" s="76" t="n"/>
      <c r="C71" s="76" t="n"/>
      <c r="D71" s="109">
        <f t="array" ref="D71:D71">IFERROR(INDEX(GroupLookup,MATCH(C71,CategoryList,0)),"")</f>
        <v/>
      </c>
      <c r="E71" s="112" t="n"/>
      <c r="F71" s="76" t="n"/>
      <c r="G71" s="76" t="n"/>
      <c r="I71" s="75" t="inlineStr">
        <is>
          <t>উপহার ও অনুষ্ঠান</t>
        </is>
      </c>
      <c r="J71" s="110">
        <f>SUMIF($C$4:$C$203,$I71,$E$4:$E$203)</f>
        <v/>
      </c>
      <c r="K71" s="111">
        <f>IFERROR($J71/$J$12,0)</f>
        <v/>
      </c>
    </row>
    <row r="72" ht="15.75" customHeight="1" s="52">
      <c r="A72" s="108" t="n"/>
      <c r="B72" s="75" t="n"/>
      <c r="C72" s="75" t="n"/>
      <c r="D72" s="109">
        <f t="array" ref="D72:D72">IFERROR(INDEX(GroupLookup,MATCH(C72,CategoryList,0)),"")</f>
        <v/>
      </c>
      <c r="E72" s="110" t="n"/>
      <c r="F72" s="75" t="n"/>
      <c r="G72" s="75" t="n"/>
      <c r="I72" s="76" t="inlineStr">
        <is>
          <t>দান ও যাকাত</t>
        </is>
      </c>
      <c r="J72" s="112">
        <f>SUMIF($C$4:$C$203,$I72,$E$4:$E$203)</f>
        <v/>
      </c>
      <c r="K72" s="113">
        <f>IFERROR($J72/$J$12,0)</f>
        <v/>
      </c>
    </row>
    <row r="73" ht="15.75" customHeight="1" s="52">
      <c r="A73" s="114" t="n"/>
      <c r="B73" s="76" t="n"/>
      <c r="C73" s="76" t="n"/>
      <c r="D73" s="109">
        <f t="array" ref="D73:D73">IFERROR(INDEX(GroupLookup,MATCH(C73,CategoryList,0)),"")</f>
        <v/>
      </c>
      <c r="E73" s="112" t="n"/>
      <c r="F73" s="76" t="n"/>
      <c r="G73" s="76" t="n"/>
      <c r="I73" s="75" t="inlineStr">
        <is>
          <t>সঞ্চয় ও বিনিয়োগ</t>
        </is>
      </c>
      <c r="J73" s="110">
        <f>SUMIF($C$4:$C$203,$I73,$E$4:$E$203)</f>
        <v/>
      </c>
      <c r="K73" s="111">
        <f>IFERROR($J73/$J$12,0)</f>
        <v/>
      </c>
    </row>
    <row r="74" ht="15.75" customHeight="1" s="52">
      <c r="A74" s="108" t="n"/>
      <c r="B74" s="75" t="n"/>
      <c r="C74" s="75" t="n"/>
      <c r="D74" s="109">
        <f t="array" ref="D74:D74">IFERROR(INDEX(GroupLookup,MATCH(C74,CategoryList,0)),"")</f>
        <v/>
      </c>
      <c r="E74" s="110" t="n"/>
      <c r="F74" s="75" t="n"/>
      <c r="G74" s="75" t="n"/>
      <c r="I74" s="76" t="inlineStr">
        <is>
          <t>ঋণ পরিশোধ / কিস্তি</t>
        </is>
      </c>
      <c r="J74" s="112">
        <f>SUMIF($C$4:$C$203,$I74,$E$4:$E$203)</f>
        <v/>
      </c>
      <c r="K74" s="113">
        <f>IFERROR($J74/$J$12,0)</f>
        <v/>
      </c>
    </row>
    <row r="75" ht="15.75" customHeight="1" s="52">
      <c r="A75" s="114" t="n"/>
      <c r="B75" s="76" t="n"/>
      <c r="C75" s="76" t="n"/>
      <c r="D75" s="109">
        <f t="array" ref="D75:D75">IFERROR(INDEX(GroupLookup,MATCH(C75,CategoryList,0)),"")</f>
        <v/>
      </c>
      <c r="E75" s="112" t="n"/>
      <c r="F75" s="76" t="n"/>
      <c r="G75" s="76" t="n"/>
      <c r="I75" s="75" t="inlineStr">
        <is>
          <t>বীমা প্রিমিয়াম</t>
        </is>
      </c>
      <c r="J75" s="110">
        <f>SUMIF($C$4:$C$203,$I75,$E$4:$E$203)</f>
        <v/>
      </c>
      <c r="K75" s="111">
        <f>IFERROR($J75/$J$12,0)</f>
        <v/>
      </c>
    </row>
    <row r="76" ht="15.75" customHeight="1" s="52">
      <c r="A76" s="108" t="n"/>
      <c r="B76" s="75" t="n"/>
      <c r="C76" s="75" t="n"/>
      <c r="D76" s="109">
        <f t="array" ref="D76:D76">IFERROR(INDEX(GroupLookup,MATCH(C76,CategoryList,0)),"")</f>
        <v/>
      </c>
      <c r="E76" s="110" t="n"/>
      <c r="F76" s="75" t="n"/>
      <c r="G76" s="75" t="n"/>
      <c r="I76" s="76" t="inlineStr">
        <is>
          <t>অন্যান্য খরচ</t>
        </is>
      </c>
      <c r="J76" s="112">
        <f>SUMIF($C$4:$C$203,$I76,$E$4:$E$203)</f>
        <v/>
      </c>
      <c r="K76" s="113">
        <f>IFERROR($J76/$J$12,0)</f>
        <v/>
      </c>
    </row>
    <row r="77" ht="15.75" customHeight="1" s="52">
      <c r="A77" s="114" t="n"/>
      <c r="B77" s="76" t="n"/>
      <c r="C77" s="76" t="n"/>
      <c r="D77" s="109">
        <f t="array" ref="D77:D77">IFERROR(INDEX(GroupLookup,MATCH(C77,CategoryList,0)),"")</f>
        <v/>
      </c>
      <c r="E77" s="112" t="n"/>
      <c r="F77" s="76" t="n"/>
      <c r="G77" s="76" t="n"/>
      <c r="I77" s="72" t="inlineStr">
        <is>
          <t>সর্বমোট</t>
        </is>
      </c>
      <c r="J77" s="117">
        <f>SUM($J$23:$J$76)</f>
        <v/>
      </c>
      <c r="K77" s="118">
        <f>IFERROR($J$77/$J$12,0)</f>
        <v/>
      </c>
    </row>
    <row r="78" ht="15.75" customHeight="1" s="52">
      <c r="A78" s="108" t="n"/>
      <c r="B78" s="75" t="n"/>
      <c r="C78" s="75" t="n"/>
      <c r="D78" s="109">
        <f t="array" ref="D78:D78">IFERROR(INDEX(GroupLookup,MATCH(C78,CategoryList,0)),"")</f>
        <v/>
      </c>
      <c r="E78" s="110" t="n"/>
      <c r="F78" s="75" t="n"/>
      <c r="G78" s="75" t="n"/>
    </row>
    <row r="79" ht="15.75" customHeight="1" s="52">
      <c r="A79" s="114" t="n"/>
      <c r="B79" s="76" t="n"/>
      <c r="C79" s="76" t="n"/>
      <c r="D79" s="109">
        <f t="array" ref="D79:D79">IFERROR(INDEX(GroupLookup,MATCH(C79,CategoryList,0)),"")</f>
        <v/>
      </c>
      <c r="E79" s="112" t="n"/>
      <c r="F79" s="76" t="n"/>
      <c r="G79" s="76" t="n"/>
    </row>
    <row r="80" ht="15.75" customHeight="1" s="52">
      <c r="A80" s="108" t="n"/>
      <c r="B80" s="75" t="n"/>
      <c r="C80" s="75" t="n"/>
      <c r="D80" s="109">
        <f t="array" ref="D80:D80">IFERROR(INDEX(GroupLookup,MATCH(C80,CategoryList,0)),"")</f>
        <v/>
      </c>
      <c r="E80" s="110" t="n"/>
      <c r="F80" s="75" t="n"/>
      <c r="G80" s="75" t="n"/>
    </row>
    <row r="81" ht="15.75" customHeight="1" s="52">
      <c r="A81" s="114" t="n"/>
      <c r="B81" s="76" t="n"/>
      <c r="C81" s="76" t="n"/>
      <c r="D81" s="109">
        <f t="array" ref="D81:D81">IFERROR(INDEX(GroupLookup,MATCH(C81,CategoryList,0)),"")</f>
        <v/>
      </c>
      <c r="E81" s="112" t="n"/>
      <c r="F81" s="76" t="n"/>
      <c r="G81" s="76" t="n"/>
    </row>
    <row r="82" ht="15.75" customHeight="1" s="52">
      <c r="A82" s="108" t="n"/>
      <c r="B82" s="75" t="n"/>
      <c r="C82" s="75" t="n"/>
      <c r="D82" s="109">
        <f t="array" ref="D82:D82">IFERROR(INDEX(GroupLookup,MATCH(C82,CategoryList,0)),"")</f>
        <v/>
      </c>
      <c r="E82" s="110" t="n"/>
      <c r="F82" s="75" t="n"/>
      <c r="G82" s="75" t="n"/>
    </row>
    <row r="83" ht="15.75" customHeight="1" s="52">
      <c r="A83" s="114" t="n"/>
      <c r="B83" s="76" t="n"/>
      <c r="C83" s="76" t="n"/>
      <c r="D83" s="109">
        <f t="array" ref="D83:D83">IFERROR(INDEX(GroupLookup,MATCH(C83,CategoryList,0)),"")</f>
        <v/>
      </c>
      <c r="E83" s="112" t="n"/>
      <c r="F83" s="76" t="n"/>
      <c r="G83" s="76" t="n"/>
    </row>
    <row r="84" ht="15.75" customHeight="1" s="52">
      <c r="A84" s="108" t="n"/>
      <c r="B84" s="75" t="n"/>
      <c r="C84" s="75" t="n"/>
      <c r="D84" s="109">
        <f t="array" ref="D84:D84">IFERROR(INDEX(GroupLookup,MATCH(C84,CategoryList,0)),"")</f>
        <v/>
      </c>
      <c r="E84" s="110" t="n"/>
      <c r="F84" s="75" t="n"/>
      <c r="G84" s="75" t="n"/>
    </row>
    <row r="85" ht="15.75" customHeight="1" s="52">
      <c r="A85" s="114" t="n"/>
      <c r="B85" s="76" t="n"/>
      <c r="C85" s="76" t="n"/>
      <c r="D85" s="109">
        <f t="array" ref="D85:D85">IFERROR(INDEX(GroupLookup,MATCH(C85,CategoryList,0)),"")</f>
        <v/>
      </c>
      <c r="E85" s="112" t="n"/>
      <c r="F85" s="76" t="n"/>
      <c r="G85" s="76" t="n"/>
    </row>
    <row r="86" ht="15.75" customHeight="1" s="52">
      <c r="A86" s="108" t="n"/>
      <c r="B86" s="75" t="n"/>
      <c r="C86" s="75" t="n"/>
      <c r="D86" s="109">
        <f t="array" ref="D86:D86">IFERROR(INDEX(GroupLookup,MATCH(C86,CategoryList,0)),"")</f>
        <v/>
      </c>
      <c r="E86" s="110" t="n"/>
      <c r="F86" s="75" t="n"/>
      <c r="G86" s="75" t="n"/>
    </row>
    <row r="87" ht="15.75" customHeight="1" s="52">
      <c r="A87" s="114" t="n"/>
      <c r="B87" s="76" t="n"/>
      <c r="C87" s="76" t="n"/>
      <c r="D87" s="109">
        <f t="array" ref="D87:D87">IFERROR(INDEX(GroupLookup,MATCH(C87,CategoryList,0)),"")</f>
        <v/>
      </c>
      <c r="E87" s="112" t="n"/>
      <c r="F87" s="76" t="n"/>
      <c r="G87" s="76" t="n"/>
    </row>
    <row r="88" ht="15.75" customHeight="1" s="52">
      <c r="A88" s="108" t="n"/>
      <c r="B88" s="75" t="n"/>
      <c r="C88" s="75" t="n"/>
      <c r="D88" s="109">
        <f t="array" ref="D88:D88">IFERROR(INDEX(GroupLookup,MATCH(C88,CategoryList,0)),"")</f>
        <v/>
      </c>
      <c r="E88" s="110" t="n"/>
      <c r="F88" s="75" t="n"/>
      <c r="G88" s="75" t="n"/>
    </row>
    <row r="89" ht="15.75" customHeight="1" s="52">
      <c r="A89" s="114" t="n"/>
      <c r="B89" s="76" t="n"/>
      <c r="C89" s="76" t="n"/>
      <c r="D89" s="109">
        <f t="array" ref="D89:D89">IFERROR(INDEX(GroupLookup,MATCH(C89,CategoryList,0)),"")</f>
        <v/>
      </c>
      <c r="E89" s="112" t="n"/>
      <c r="F89" s="76" t="n"/>
      <c r="G89" s="76" t="n"/>
    </row>
    <row r="90" ht="15.75" customHeight="1" s="52">
      <c r="A90" s="108" t="n"/>
      <c r="B90" s="75" t="n"/>
      <c r="C90" s="75" t="n"/>
      <c r="D90" s="109">
        <f t="array" ref="D90:D90">IFERROR(INDEX(GroupLookup,MATCH(C90,CategoryList,0)),"")</f>
        <v/>
      </c>
      <c r="E90" s="110" t="n"/>
      <c r="F90" s="75" t="n"/>
      <c r="G90" s="75" t="n"/>
    </row>
    <row r="91" ht="15.75" customHeight="1" s="52">
      <c r="A91" s="114" t="n"/>
      <c r="B91" s="76" t="n"/>
      <c r="C91" s="76" t="n"/>
      <c r="D91" s="109">
        <f t="array" ref="D91:D91">IFERROR(INDEX(GroupLookup,MATCH(C91,CategoryList,0)),"")</f>
        <v/>
      </c>
      <c r="E91" s="112" t="n"/>
      <c r="F91" s="76" t="n"/>
      <c r="G91" s="76" t="n"/>
    </row>
    <row r="92" ht="15.75" customHeight="1" s="52">
      <c r="A92" s="108" t="n"/>
      <c r="B92" s="75" t="n"/>
      <c r="C92" s="75" t="n"/>
      <c r="D92" s="109">
        <f t="array" ref="D92:D92">IFERROR(INDEX(GroupLookup,MATCH(C92,CategoryList,0)),"")</f>
        <v/>
      </c>
      <c r="E92" s="110" t="n"/>
      <c r="F92" s="75" t="n"/>
      <c r="G92" s="75" t="n"/>
    </row>
    <row r="93" ht="15.75" customHeight="1" s="52">
      <c r="A93" s="114" t="n"/>
      <c r="B93" s="76" t="n"/>
      <c r="C93" s="76" t="n"/>
      <c r="D93" s="109">
        <f t="array" ref="D93:D93">IFERROR(INDEX(GroupLookup,MATCH(C93,CategoryList,0)),"")</f>
        <v/>
      </c>
      <c r="E93" s="112" t="n"/>
      <c r="F93" s="76" t="n"/>
      <c r="G93" s="76" t="n"/>
    </row>
    <row r="94" ht="15.75" customHeight="1" s="52">
      <c r="A94" s="108" t="n"/>
      <c r="B94" s="75" t="n"/>
      <c r="C94" s="75" t="n"/>
      <c r="D94" s="109">
        <f t="array" ref="D94:D94">IFERROR(INDEX(GroupLookup,MATCH(C94,CategoryList,0)),"")</f>
        <v/>
      </c>
      <c r="E94" s="110" t="n"/>
      <c r="F94" s="75" t="n"/>
      <c r="G94" s="75" t="n"/>
    </row>
    <row r="95" ht="15.75" customHeight="1" s="52">
      <c r="A95" s="114" t="n"/>
      <c r="B95" s="76" t="n"/>
      <c r="C95" s="76" t="n"/>
      <c r="D95" s="109">
        <f t="array" ref="D95:D95">IFERROR(INDEX(GroupLookup,MATCH(C95,CategoryList,0)),"")</f>
        <v/>
      </c>
      <c r="E95" s="112" t="n"/>
      <c r="F95" s="76" t="n"/>
      <c r="G95" s="76" t="n"/>
    </row>
    <row r="96" ht="15.75" customHeight="1" s="52">
      <c r="A96" s="108" t="n"/>
      <c r="B96" s="75" t="n"/>
      <c r="C96" s="75" t="n"/>
      <c r="D96" s="109">
        <f t="array" ref="D96:D96">IFERROR(INDEX(GroupLookup,MATCH(C96,CategoryList,0)),"")</f>
        <v/>
      </c>
      <c r="E96" s="110" t="n"/>
      <c r="F96" s="75" t="n"/>
      <c r="G96" s="75" t="n"/>
    </row>
    <row r="97" ht="15.75" customHeight="1" s="52">
      <c r="A97" s="114" t="n"/>
      <c r="B97" s="76" t="n"/>
      <c r="C97" s="76" t="n"/>
      <c r="D97" s="109">
        <f t="array" ref="D97:D97">IFERROR(INDEX(GroupLookup,MATCH(C97,CategoryList,0)),"")</f>
        <v/>
      </c>
      <c r="E97" s="112" t="n"/>
      <c r="F97" s="76" t="n"/>
      <c r="G97" s="76" t="n"/>
    </row>
    <row r="98" ht="15.75" customHeight="1" s="52">
      <c r="A98" s="108" t="n"/>
      <c r="B98" s="75" t="n"/>
      <c r="C98" s="75" t="n"/>
      <c r="D98" s="109">
        <f t="array" ref="D98:D98">IFERROR(INDEX(GroupLookup,MATCH(C98,CategoryList,0)),"")</f>
        <v/>
      </c>
      <c r="E98" s="110" t="n"/>
      <c r="F98" s="75" t="n"/>
      <c r="G98" s="75" t="n"/>
    </row>
    <row r="99" ht="15.75" customHeight="1" s="52">
      <c r="A99" s="114" t="n"/>
      <c r="B99" s="76" t="n"/>
      <c r="C99" s="76" t="n"/>
      <c r="D99" s="109">
        <f t="array" ref="D99:D99">IFERROR(INDEX(GroupLookup,MATCH(C99,CategoryList,0)),"")</f>
        <v/>
      </c>
      <c r="E99" s="112" t="n"/>
      <c r="F99" s="76" t="n"/>
      <c r="G99" s="76" t="n"/>
    </row>
    <row r="100" ht="15.75" customHeight="1" s="52">
      <c r="A100" s="108" t="n"/>
      <c r="B100" s="75" t="n"/>
      <c r="C100" s="75" t="n"/>
      <c r="D100" s="109">
        <f t="array" ref="D100:D100">IFERROR(INDEX(GroupLookup,MATCH(C100,CategoryList,0)),"")</f>
        <v/>
      </c>
      <c r="E100" s="110" t="n"/>
      <c r="F100" s="75" t="n"/>
      <c r="G100" s="75" t="n"/>
    </row>
    <row r="101" ht="15.75" customHeight="1" s="52">
      <c r="A101" s="114" t="n"/>
      <c r="B101" s="76" t="n"/>
      <c r="C101" s="76" t="n"/>
      <c r="D101" s="109">
        <f t="array" ref="D101:D101">IFERROR(INDEX(GroupLookup,MATCH(C101,CategoryList,0)),"")</f>
        <v/>
      </c>
      <c r="E101" s="112" t="n"/>
      <c r="F101" s="76" t="n"/>
      <c r="G101" s="76" t="n"/>
    </row>
    <row r="102" ht="15.75" customHeight="1" s="52">
      <c r="A102" s="108" t="n"/>
      <c r="B102" s="75" t="n"/>
      <c r="C102" s="75" t="n"/>
      <c r="D102" s="109">
        <f t="array" ref="D102:D102">IFERROR(INDEX(GroupLookup,MATCH(C102,CategoryList,0)),"")</f>
        <v/>
      </c>
      <c r="E102" s="110" t="n"/>
      <c r="F102" s="75" t="n"/>
      <c r="G102" s="75" t="n"/>
    </row>
    <row r="103" ht="15.75" customHeight="1" s="52">
      <c r="A103" s="114" t="n"/>
      <c r="B103" s="76" t="n"/>
      <c r="C103" s="76" t="n"/>
      <c r="D103" s="109">
        <f t="array" ref="D103:D103">IFERROR(INDEX(GroupLookup,MATCH(C103,CategoryList,0)),"")</f>
        <v/>
      </c>
      <c r="E103" s="112" t="n"/>
      <c r="F103" s="76" t="n"/>
      <c r="G103" s="76" t="n"/>
    </row>
    <row r="104" ht="15.75" customHeight="1" s="52">
      <c r="A104" s="108" t="n"/>
      <c r="B104" s="75" t="n"/>
      <c r="C104" s="75" t="n"/>
      <c r="D104" s="109">
        <f t="array" ref="D104:D104">IFERROR(INDEX(GroupLookup,MATCH(C104,CategoryList,0)),"")</f>
        <v/>
      </c>
      <c r="E104" s="110" t="n"/>
      <c r="F104" s="75" t="n"/>
      <c r="G104" s="75" t="n"/>
    </row>
    <row r="105" ht="15.75" customHeight="1" s="52">
      <c r="A105" s="114" t="n"/>
      <c r="B105" s="76" t="n"/>
      <c r="C105" s="76" t="n"/>
      <c r="D105" s="109">
        <f t="array" ref="D105:D105">IFERROR(INDEX(GroupLookup,MATCH(C105,CategoryList,0)),"")</f>
        <v/>
      </c>
      <c r="E105" s="112" t="n"/>
      <c r="F105" s="76" t="n"/>
      <c r="G105" s="76" t="n"/>
    </row>
    <row r="106" ht="15.75" customHeight="1" s="52">
      <c r="A106" s="108" t="n"/>
      <c r="B106" s="75" t="n"/>
      <c r="C106" s="75" t="n"/>
      <c r="D106" s="109">
        <f t="array" ref="D106:D106">IFERROR(INDEX(GroupLookup,MATCH(C106,CategoryList,0)),"")</f>
        <v/>
      </c>
      <c r="E106" s="110" t="n"/>
      <c r="F106" s="75" t="n"/>
      <c r="G106" s="75" t="n"/>
    </row>
    <row r="107" ht="15.75" customHeight="1" s="52">
      <c r="A107" s="114" t="n"/>
      <c r="B107" s="76" t="n"/>
      <c r="C107" s="76" t="n"/>
      <c r="D107" s="109">
        <f t="array" ref="D107:D107">IFERROR(INDEX(GroupLookup,MATCH(C107,CategoryList,0)),"")</f>
        <v/>
      </c>
      <c r="E107" s="112" t="n"/>
      <c r="F107" s="76" t="n"/>
      <c r="G107" s="76" t="n"/>
    </row>
    <row r="108" ht="15.75" customHeight="1" s="52">
      <c r="A108" s="108" t="n"/>
      <c r="B108" s="75" t="n"/>
      <c r="C108" s="75" t="n"/>
      <c r="D108" s="109">
        <f t="array" ref="D108:D108">IFERROR(INDEX(GroupLookup,MATCH(C108,CategoryList,0)),"")</f>
        <v/>
      </c>
      <c r="E108" s="110" t="n"/>
      <c r="F108" s="75" t="n"/>
      <c r="G108" s="75" t="n"/>
    </row>
    <row r="109" ht="15.75" customHeight="1" s="52">
      <c r="A109" s="114" t="n"/>
      <c r="B109" s="76" t="n"/>
      <c r="C109" s="76" t="n"/>
      <c r="D109" s="109">
        <f t="array" ref="D109:D109">IFERROR(INDEX(GroupLookup,MATCH(C109,CategoryList,0)),"")</f>
        <v/>
      </c>
      <c r="E109" s="112" t="n"/>
      <c r="F109" s="76" t="n"/>
      <c r="G109" s="76" t="n"/>
    </row>
    <row r="110" ht="15.75" customHeight="1" s="52">
      <c r="A110" s="108" t="n"/>
      <c r="B110" s="75" t="n"/>
      <c r="C110" s="75" t="n"/>
      <c r="D110" s="109">
        <f t="array" ref="D110:D110">IFERROR(INDEX(GroupLookup,MATCH(C110,CategoryList,0)),"")</f>
        <v/>
      </c>
      <c r="E110" s="110" t="n"/>
      <c r="F110" s="75" t="n"/>
      <c r="G110" s="75" t="n"/>
    </row>
    <row r="111" ht="15.75" customHeight="1" s="52">
      <c r="A111" s="114" t="n"/>
      <c r="B111" s="76" t="n"/>
      <c r="C111" s="76" t="n"/>
      <c r="D111" s="109">
        <f t="array" ref="D111:D111">IFERROR(INDEX(GroupLookup,MATCH(C111,CategoryList,0)),"")</f>
        <v/>
      </c>
      <c r="E111" s="112" t="n"/>
      <c r="F111" s="76" t="n"/>
      <c r="G111" s="76" t="n"/>
    </row>
    <row r="112" ht="15.75" customHeight="1" s="52">
      <c r="A112" s="108" t="n"/>
      <c r="B112" s="75" t="n"/>
      <c r="C112" s="75" t="n"/>
      <c r="D112" s="109">
        <f t="array" ref="D112:D112">IFERROR(INDEX(GroupLookup,MATCH(C112,CategoryList,0)),"")</f>
        <v/>
      </c>
      <c r="E112" s="110" t="n"/>
      <c r="F112" s="75" t="n"/>
      <c r="G112" s="75" t="n"/>
    </row>
    <row r="113" ht="15.75" customHeight="1" s="52">
      <c r="A113" s="114" t="n"/>
      <c r="B113" s="76" t="n"/>
      <c r="C113" s="76" t="n"/>
      <c r="D113" s="109">
        <f t="array" ref="D113:D113">IFERROR(INDEX(GroupLookup,MATCH(C113,CategoryList,0)),"")</f>
        <v/>
      </c>
      <c r="E113" s="112" t="n"/>
      <c r="F113" s="76" t="n"/>
      <c r="G113" s="76" t="n"/>
    </row>
    <row r="114" ht="15.75" customHeight="1" s="52">
      <c r="A114" s="108" t="n"/>
      <c r="B114" s="75" t="n"/>
      <c r="C114" s="75" t="n"/>
      <c r="D114" s="109">
        <f t="array" ref="D114:D114">IFERROR(INDEX(GroupLookup,MATCH(C114,CategoryList,0)),"")</f>
        <v/>
      </c>
      <c r="E114" s="110" t="n"/>
      <c r="F114" s="75" t="n"/>
      <c r="G114" s="75" t="n"/>
    </row>
    <row r="115" ht="15.75" customHeight="1" s="52">
      <c r="A115" s="114" t="n"/>
      <c r="B115" s="76" t="n"/>
      <c r="C115" s="76" t="n"/>
      <c r="D115" s="109">
        <f t="array" ref="D115:D115">IFERROR(INDEX(GroupLookup,MATCH(C115,CategoryList,0)),"")</f>
        <v/>
      </c>
      <c r="E115" s="112" t="n"/>
      <c r="F115" s="76" t="n"/>
      <c r="G115" s="76" t="n"/>
    </row>
    <row r="116" ht="15.75" customHeight="1" s="52">
      <c r="A116" s="108" t="n"/>
      <c r="B116" s="75" t="n"/>
      <c r="C116" s="75" t="n"/>
      <c r="D116" s="109">
        <f t="array" ref="D116:D116">IFERROR(INDEX(GroupLookup,MATCH(C116,CategoryList,0)),"")</f>
        <v/>
      </c>
      <c r="E116" s="110" t="n"/>
      <c r="F116" s="75" t="n"/>
      <c r="G116" s="75" t="n"/>
    </row>
    <row r="117" ht="15.75" customHeight="1" s="52">
      <c r="A117" s="114" t="n"/>
      <c r="B117" s="76" t="n"/>
      <c r="C117" s="76" t="n"/>
      <c r="D117" s="109">
        <f t="array" ref="D117:D117">IFERROR(INDEX(GroupLookup,MATCH(C117,CategoryList,0)),"")</f>
        <v/>
      </c>
      <c r="E117" s="112" t="n"/>
      <c r="F117" s="76" t="n"/>
      <c r="G117" s="76" t="n"/>
    </row>
    <row r="118" ht="15.75" customHeight="1" s="52">
      <c r="A118" s="108" t="n"/>
      <c r="B118" s="75" t="n"/>
      <c r="C118" s="75" t="n"/>
      <c r="D118" s="109">
        <f t="array" ref="D118:D118">IFERROR(INDEX(GroupLookup,MATCH(C118,CategoryList,0)),"")</f>
        <v/>
      </c>
      <c r="E118" s="110" t="n"/>
      <c r="F118" s="75" t="n"/>
      <c r="G118" s="75" t="n"/>
    </row>
    <row r="119" ht="15.75" customHeight="1" s="52">
      <c r="A119" s="114" t="n"/>
      <c r="B119" s="76" t="n"/>
      <c r="C119" s="76" t="n"/>
      <c r="D119" s="109">
        <f t="array" ref="D119:D119">IFERROR(INDEX(GroupLookup,MATCH(C119,CategoryList,0)),"")</f>
        <v/>
      </c>
      <c r="E119" s="112" t="n"/>
      <c r="F119" s="76" t="n"/>
      <c r="G119" s="76" t="n"/>
    </row>
    <row r="120" ht="15.75" customHeight="1" s="52">
      <c r="A120" s="108" t="n"/>
      <c r="B120" s="75" t="n"/>
      <c r="C120" s="75" t="n"/>
      <c r="D120" s="109">
        <f t="array" ref="D120:D120">IFERROR(INDEX(GroupLookup,MATCH(C120,CategoryList,0)),"")</f>
        <v/>
      </c>
      <c r="E120" s="110" t="n"/>
      <c r="F120" s="75" t="n"/>
      <c r="G120" s="75" t="n"/>
    </row>
    <row r="121" ht="15.75" customHeight="1" s="52">
      <c r="A121" s="114" t="n"/>
      <c r="B121" s="76" t="n"/>
      <c r="C121" s="76" t="n"/>
      <c r="D121" s="109">
        <f t="array" ref="D121:D121">IFERROR(INDEX(GroupLookup,MATCH(C121,CategoryList,0)),"")</f>
        <v/>
      </c>
      <c r="E121" s="112" t="n"/>
      <c r="F121" s="76" t="n"/>
      <c r="G121" s="76" t="n"/>
    </row>
    <row r="122" ht="15.75" customHeight="1" s="52">
      <c r="A122" s="108" t="n"/>
      <c r="B122" s="75" t="n"/>
      <c r="C122" s="75" t="n"/>
      <c r="D122" s="109">
        <f t="array" ref="D122:D122">IFERROR(INDEX(GroupLookup,MATCH(C122,CategoryList,0)),"")</f>
        <v/>
      </c>
      <c r="E122" s="110" t="n"/>
      <c r="F122" s="75" t="n"/>
      <c r="G122" s="75" t="n"/>
    </row>
    <row r="123" ht="15.75" customHeight="1" s="52">
      <c r="A123" s="114" t="n"/>
      <c r="B123" s="76" t="n"/>
      <c r="C123" s="76" t="n"/>
      <c r="D123" s="109">
        <f t="array" ref="D123:D123">IFERROR(INDEX(GroupLookup,MATCH(C123,CategoryList,0)),"")</f>
        <v/>
      </c>
      <c r="E123" s="112" t="n"/>
      <c r="F123" s="76" t="n"/>
      <c r="G123" s="76" t="n"/>
    </row>
    <row r="124" ht="15.75" customHeight="1" s="52">
      <c r="A124" s="108" t="n"/>
      <c r="B124" s="75" t="n"/>
      <c r="C124" s="75" t="n"/>
      <c r="D124" s="109">
        <f t="array" ref="D124:D124">IFERROR(INDEX(GroupLookup,MATCH(C124,CategoryList,0)),"")</f>
        <v/>
      </c>
      <c r="E124" s="110" t="n"/>
      <c r="F124" s="75" t="n"/>
      <c r="G124" s="75" t="n"/>
    </row>
    <row r="125" ht="15.75" customHeight="1" s="52">
      <c r="A125" s="114" t="n"/>
      <c r="B125" s="76" t="n"/>
      <c r="C125" s="76" t="n"/>
      <c r="D125" s="109">
        <f t="array" ref="D125:D125">IFERROR(INDEX(GroupLookup,MATCH(C125,CategoryList,0)),"")</f>
        <v/>
      </c>
      <c r="E125" s="112" t="n"/>
      <c r="F125" s="76" t="n"/>
      <c r="G125" s="76" t="n"/>
    </row>
    <row r="126" ht="15.75" customHeight="1" s="52">
      <c r="A126" s="108" t="n"/>
      <c r="B126" s="75" t="n"/>
      <c r="C126" s="75" t="n"/>
      <c r="D126" s="109">
        <f t="array" ref="D126:D126">IFERROR(INDEX(GroupLookup,MATCH(C126,CategoryList,0)),"")</f>
        <v/>
      </c>
      <c r="E126" s="110" t="n"/>
      <c r="F126" s="75" t="n"/>
      <c r="G126" s="75" t="n"/>
    </row>
    <row r="127" ht="15.75" customHeight="1" s="52">
      <c r="A127" s="114" t="n"/>
      <c r="B127" s="76" t="n"/>
      <c r="C127" s="76" t="n"/>
      <c r="D127" s="109">
        <f t="array" ref="D127:D127">IFERROR(INDEX(GroupLookup,MATCH(C127,CategoryList,0)),"")</f>
        <v/>
      </c>
      <c r="E127" s="112" t="n"/>
      <c r="F127" s="76" t="n"/>
      <c r="G127" s="76" t="n"/>
    </row>
    <row r="128" ht="15.75" customHeight="1" s="52">
      <c r="A128" s="108" t="n"/>
      <c r="B128" s="75" t="n"/>
      <c r="C128" s="75" t="n"/>
      <c r="D128" s="109">
        <f t="array" ref="D128:D128">IFERROR(INDEX(GroupLookup,MATCH(C128,CategoryList,0)),"")</f>
        <v/>
      </c>
      <c r="E128" s="110" t="n"/>
      <c r="F128" s="75" t="n"/>
      <c r="G128" s="75" t="n"/>
    </row>
    <row r="129" ht="15.75" customHeight="1" s="52">
      <c r="A129" s="114" t="n"/>
      <c r="B129" s="76" t="n"/>
      <c r="C129" s="76" t="n"/>
      <c r="D129" s="109">
        <f t="array" ref="D129:D129">IFERROR(INDEX(GroupLookup,MATCH(C129,CategoryList,0)),"")</f>
        <v/>
      </c>
      <c r="E129" s="112" t="n"/>
      <c r="F129" s="76" t="n"/>
      <c r="G129" s="76" t="n"/>
    </row>
    <row r="130" ht="15.75" customHeight="1" s="52">
      <c r="A130" s="108" t="n"/>
      <c r="B130" s="75" t="n"/>
      <c r="C130" s="75" t="n"/>
      <c r="D130" s="109">
        <f t="array" ref="D130:D130">IFERROR(INDEX(GroupLookup,MATCH(C130,CategoryList,0)),"")</f>
        <v/>
      </c>
      <c r="E130" s="110" t="n"/>
      <c r="F130" s="75" t="n"/>
      <c r="G130" s="75" t="n"/>
    </row>
    <row r="131" ht="15.75" customHeight="1" s="52">
      <c r="A131" s="114" t="n"/>
      <c r="B131" s="76" t="n"/>
      <c r="C131" s="76" t="n"/>
      <c r="D131" s="109">
        <f t="array" ref="D131:D131">IFERROR(INDEX(GroupLookup,MATCH(C131,CategoryList,0)),"")</f>
        <v/>
      </c>
      <c r="E131" s="112" t="n"/>
      <c r="F131" s="76" t="n"/>
      <c r="G131" s="76" t="n"/>
    </row>
    <row r="132" ht="15.75" customHeight="1" s="52">
      <c r="A132" s="108" t="n"/>
      <c r="B132" s="75" t="n"/>
      <c r="C132" s="75" t="n"/>
      <c r="D132" s="109">
        <f t="array" ref="D132:D132">IFERROR(INDEX(GroupLookup,MATCH(C132,CategoryList,0)),"")</f>
        <v/>
      </c>
      <c r="E132" s="110" t="n"/>
      <c r="F132" s="75" t="n"/>
      <c r="G132" s="75" t="n"/>
    </row>
    <row r="133" ht="15.75" customHeight="1" s="52">
      <c r="A133" s="114" t="n"/>
      <c r="B133" s="76" t="n"/>
      <c r="C133" s="76" t="n"/>
      <c r="D133" s="109">
        <f t="array" ref="D133:D133">IFERROR(INDEX(GroupLookup,MATCH(C133,CategoryList,0)),"")</f>
        <v/>
      </c>
      <c r="E133" s="112" t="n"/>
      <c r="F133" s="76" t="n"/>
      <c r="G133" s="76" t="n"/>
    </row>
    <row r="134" ht="15.75" customHeight="1" s="52">
      <c r="A134" s="108" t="n"/>
      <c r="B134" s="75" t="n"/>
      <c r="C134" s="75" t="n"/>
      <c r="D134" s="109">
        <f t="array" ref="D134:D134">IFERROR(INDEX(GroupLookup,MATCH(C134,CategoryList,0)),"")</f>
        <v/>
      </c>
      <c r="E134" s="110" t="n"/>
      <c r="F134" s="75" t="n"/>
      <c r="G134" s="75" t="n"/>
    </row>
    <row r="135" ht="15.75" customHeight="1" s="52">
      <c r="A135" s="114" t="n"/>
      <c r="B135" s="76" t="n"/>
      <c r="C135" s="76" t="n"/>
      <c r="D135" s="109">
        <f t="array" ref="D135:D135">IFERROR(INDEX(GroupLookup,MATCH(C135,CategoryList,0)),"")</f>
        <v/>
      </c>
      <c r="E135" s="112" t="n"/>
      <c r="F135" s="76" t="n"/>
      <c r="G135" s="76" t="n"/>
    </row>
    <row r="136" ht="15.75" customHeight="1" s="52">
      <c r="A136" s="108" t="n"/>
      <c r="B136" s="75" t="n"/>
      <c r="C136" s="75" t="n"/>
      <c r="D136" s="109">
        <f t="array" ref="D136:D136">IFERROR(INDEX(GroupLookup,MATCH(C136,CategoryList,0)),"")</f>
        <v/>
      </c>
      <c r="E136" s="110" t="n"/>
      <c r="F136" s="75" t="n"/>
      <c r="G136" s="75" t="n"/>
    </row>
    <row r="137" ht="15.75" customHeight="1" s="52">
      <c r="A137" s="114" t="n"/>
      <c r="B137" s="76" t="n"/>
      <c r="C137" s="76" t="n"/>
      <c r="D137" s="109">
        <f t="array" ref="D137:D137">IFERROR(INDEX(GroupLookup,MATCH(C137,CategoryList,0)),"")</f>
        <v/>
      </c>
      <c r="E137" s="112" t="n"/>
      <c r="F137" s="76" t="n"/>
      <c r="G137" s="76" t="n"/>
    </row>
    <row r="138" ht="15.75" customHeight="1" s="52">
      <c r="A138" s="108" t="n"/>
      <c r="B138" s="75" t="n"/>
      <c r="C138" s="75" t="n"/>
      <c r="D138" s="109">
        <f t="array" ref="D138:D138">IFERROR(INDEX(GroupLookup,MATCH(C138,CategoryList,0)),"")</f>
        <v/>
      </c>
      <c r="E138" s="110" t="n"/>
      <c r="F138" s="75" t="n"/>
      <c r="G138" s="75" t="n"/>
    </row>
    <row r="139" ht="15.75" customHeight="1" s="52">
      <c r="A139" s="114" t="n"/>
      <c r="B139" s="76" t="n"/>
      <c r="C139" s="76" t="n"/>
      <c r="D139" s="109">
        <f t="array" ref="D139:D139">IFERROR(INDEX(GroupLookup,MATCH(C139,CategoryList,0)),"")</f>
        <v/>
      </c>
      <c r="E139" s="112" t="n"/>
      <c r="F139" s="76" t="n"/>
      <c r="G139" s="76" t="n"/>
    </row>
    <row r="140" ht="15.75" customHeight="1" s="52">
      <c r="A140" s="108" t="n"/>
      <c r="B140" s="75" t="n"/>
      <c r="C140" s="75" t="n"/>
      <c r="D140" s="109">
        <f t="array" ref="D140:D140">IFERROR(INDEX(GroupLookup,MATCH(C140,CategoryList,0)),"")</f>
        <v/>
      </c>
      <c r="E140" s="110" t="n"/>
      <c r="F140" s="75" t="n"/>
      <c r="G140" s="75" t="n"/>
    </row>
    <row r="141" ht="15.75" customHeight="1" s="52">
      <c r="A141" s="114" t="n"/>
      <c r="B141" s="76" t="n"/>
      <c r="C141" s="76" t="n"/>
      <c r="D141" s="109">
        <f t="array" ref="D141:D141">IFERROR(INDEX(GroupLookup,MATCH(C141,CategoryList,0)),"")</f>
        <v/>
      </c>
      <c r="E141" s="112" t="n"/>
      <c r="F141" s="76" t="n"/>
      <c r="G141" s="76" t="n"/>
    </row>
    <row r="142" ht="15.75" customHeight="1" s="52">
      <c r="A142" s="108" t="n"/>
      <c r="B142" s="75" t="n"/>
      <c r="C142" s="75" t="n"/>
      <c r="D142" s="109">
        <f t="array" ref="D142:D142">IFERROR(INDEX(GroupLookup,MATCH(C142,CategoryList,0)),"")</f>
        <v/>
      </c>
      <c r="E142" s="110" t="n"/>
      <c r="F142" s="75" t="n"/>
      <c r="G142" s="75" t="n"/>
    </row>
    <row r="143" ht="15.75" customHeight="1" s="52">
      <c r="A143" s="114" t="n"/>
      <c r="B143" s="76" t="n"/>
      <c r="C143" s="76" t="n"/>
      <c r="D143" s="109">
        <f t="array" ref="D143:D143">IFERROR(INDEX(GroupLookup,MATCH(C143,CategoryList,0)),"")</f>
        <v/>
      </c>
      <c r="E143" s="112" t="n"/>
      <c r="F143" s="76" t="n"/>
      <c r="G143" s="76" t="n"/>
    </row>
    <row r="144" ht="15.75" customHeight="1" s="52">
      <c r="A144" s="108" t="n"/>
      <c r="B144" s="75" t="n"/>
      <c r="C144" s="75" t="n"/>
      <c r="D144" s="109">
        <f t="array" ref="D144:D144">IFERROR(INDEX(GroupLookup,MATCH(C144,CategoryList,0)),"")</f>
        <v/>
      </c>
      <c r="E144" s="110" t="n"/>
      <c r="F144" s="75" t="n"/>
      <c r="G144" s="75" t="n"/>
    </row>
    <row r="145" ht="15.75" customHeight="1" s="52">
      <c r="A145" s="114" t="n"/>
      <c r="B145" s="76" t="n"/>
      <c r="C145" s="76" t="n"/>
      <c r="D145" s="109">
        <f t="array" ref="D145:D145">IFERROR(INDEX(GroupLookup,MATCH(C145,CategoryList,0)),"")</f>
        <v/>
      </c>
      <c r="E145" s="112" t="n"/>
      <c r="F145" s="76" t="n"/>
      <c r="G145" s="76" t="n"/>
    </row>
    <row r="146" ht="15.75" customHeight="1" s="52">
      <c r="A146" s="108" t="n"/>
      <c r="B146" s="75" t="n"/>
      <c r="C146" s="75" t="n"/>
      <c r="D146" s="109">
        <f t="array" ref="D146:D146">IFERROR(INDEX(GroupLookup,MATCH(C146,CategoryList,0)),"")</f>
        <v/>
      </c>
      <c r="E146" s="110" t="n"/>
      <c r="F146" s="75" t="n"/>
      <c r="G146" s="75" t="n"/>
    </row>
    <row r="147" ht="15.75" customHeight="1" s="52">
      <c r="A147" s="114" t="n"/>
      <c r="B147" s="76" t="n"/>
      <c r="C147" s="76" t="n"/>
      <c r="D147" s="109">
        <f t="array" ref="D147:D147">IFERROR(INDEX(GroupLookup,MATCH(C147,CategoryList,0)),"")</f>
        <v/>
      </c>
      <c r="E147" s="112" t="n"/>
      <c r="F147" s="76" t="n"/>
      <c r="G147" s="76" t="n"/>
    </row>
    <row r="148" ht="15.75" customHeight="1" s="52">
      <c r="A148" s="108" t="n"/>
      <c r="B148" s="75" t="n"/>
      <c r="C148" s="75" t="n"/>
      <c r="D148" s="109">
        <f t="array" ref="D148:D148">IFERROR(INDEX(GroupLookup,MATCH(C148,CategoryList,0)),"")</f>
        <v/>
      </c>
      <c r="E148" s="110" t="n"/>
      <c r="F148" s="75" t="n"/>
      <c r="G148" s="75" t="n"/>
    </row>
    <row r="149" ht="15.75" customHeight="1" s="52">
      <c r="A149" s="114" t="n"/>
      <c r="B149" s="76" t="n"/>
      <c r="C149" s="76" t="n"/>
      <c r="D149" s="109">
        <f t="array" ref="D149:D149">IFERROR(INDEX(GroupLookup,MATCH(C149,CategoryList,0)),"")</f>
        <v/>
      </c>
      <c r="E149" s="112" t="n"/>
      <c r="F149" s="76" t="n"/>
      <c r="G149" s="76" t="n"/>
    </row>
    <row r="150" ht="15.75" customHeight="1" s="52">
      <c r="A150" s="108" t="n"/>
      <c r="B150" s="75" t="n"/>
      <c r="C150" s="75" t="n"/>
      <c r="D150" s="109">
        <f t="array" ref="D150:D150">IFERROR(INDEX(GroupLookup,MATCH(C150,CategoryList,0)),"")</f>
        <v/>
      </c>
      <c r="E150" s="110" t="n"/>
      <c r="F150" s="75" t="n"/>
      <c r="G150" s="75" t="n"/>
    </row>
    <row r="151" ht="15.75" customHeight="1" s="52">
      <c r="A151" s="114" t="n"/>
      <c r="B151" s="76" t="n"/>
      <c r="C151" s="76" t="n"/>
      <c r="D151" s="109">
        <f t="array" ref="D151:D151">IFERROR(INDEX(GroupLookup,MATCH(C151,CategoryList,0)),"")</f>
        <v/>
      </c>
      <c r="E151" s="112" t="n"/>
      <c r="F151" s="76" t="n"/>
      <c r="G151" s="76" t="n"/>
    </row>
    <row r="152" ht="15.75" customHeight="1" s="52">
      <c r="A152" s="108" t="n"/>
      <c r="B152" s="75" t="n"/>
      <c r="C152" s="75" t="n"/>
      <c r="D152" s="109">
        <f t="array" ref="D152:D152">IFERROR(INDEX(GroupLookup,MATCH(C152,CategoryList,0)),"")</f>
        <v/>
      </c>
      <c r="E152" s="110" t="n"/>
      <c r="F152" s="75" t="n"/>
      <c r="G152" s="75" t="n"/>
    </row>
    <row r="153" ht="15.75" customHeight="1" s="52">
      <c r="A153" s="114" t="n"/>
      <c r="B153" s="76" t="n"/>
      <c r="C153" s="76" t="n"/>
      <c r="D153" s="109">
        <f t="array" ref="D153:D153">IFERROR(INDEX(GroupLookup,MATCH(C153,CategoryList,0)),"")</f>
        <v/>
      </c>
      <c r="E153" s="112" t="n"/>
      <c r="F153" s="76" t="n"/>
      <c r="G153" s="76" t="n"/>
    </row>
    <row r="154" ht="15.75" customHeight="1" s="52">
      <c r="A154" s="108" t="n"/>
      <c r="B154" s="75" t="n"/>
      <c r="C154" s="75" t="n"/>
      <c r="D154" s="109">
        <f t="array" ref="D154:D154">IFERROR(INDEX(GroupLookup,MATCH(C154,CategoryList,0)),"")</f>
        <v/>
      </c>
      <c r="E154" s="110" t="n"/>
      <c r="F154" s="75" t="n"/>
      <c r="G154" s="75" t="n"/>
    </row>
    <row r="155" ht="15.75" customHeight="1" s="52">
      <c r="A155" s="114" t="n"/>
      <c r="B155" s="76" t="n"/>
      <c r="C155" s="76" t="n"/>
      <c r="D155" s="109">
        <f t="array" ref="D155:D155">IFERROR(INDEX(GroupLookup,MATCH(C155,CategoryList,0)),"")</f>
        <v/>
      </c>
      <c r="E155" s="112" t="n"/>
      <c r="F155" s="76" t="n"/>
      <c r="G155" s="76" t="n"/>
    </row>
    <row r="156" ht="15.75" customHeight="1" s="52">
      <c r="A156" s="108" t="n"/>
      <c r="B156" s="75" t="n"/>
      <c r="C156" s="75" t="n"/>
      <c r="D156" s="109">
        <f t="array" ref="D156:D156">IFERROR(INDEX(GroupLookup,MATCH(C156,CategoryList,0)),"")</f>
        <v/>
      </c>
      <c r="E156" s="110" t="n"/>
      <c r="F156" s="75" t="n"/>
      <c r="G156" s="75" t="n"/>
    </row>
    <row r="157" ht="15.75" customHeight="1" s="52">
      <c r="A157" s="114" t="n"/>
      <c r="B157" s="76" t="n"/>
      <c r="C157" s="76" t="n"/>
      <c r="D157" s="109">
        <f t="array" ref="D157:D157">IFERROR(INDEX(GroupLookup,MATCH(C157,CategoryList,0)),"")</f>
        <v/>
      </c>
      <c r="E157" s="112" t="n"/>
      <c r="F157" s="76" t="n"/>
      <c r="G157" s="76" t="n"/>
    </row>
    <row r="158" ht="15.75" customHeight="1" s="52">
      <c r="A158" s="108" t="n"/>
      <c r="B158" s="75" t="n"/>
      <c r="C158" s="75" t="n"/>
      <c r="D158" s="109">
        <f t="array" ref="D158:D158">IFERROR(INDEX(GroupLookup,MATCH(C158,CategoryList,0)),"")</f>
        <v/>
      </c>
      <c r="E158" s="110" t="n"/>
      <c r="F158" s="75" t="n"/>
      <c r="G158" s="75" t="n"/>
    </row>
    <row r="159" ht="15.75" customHeight="1" s="52">
      <c r="A159" s="114" t="n"/>
      <c r="B159" s="76" t="n"/>
      <c r="C159" s="76" t="n"/>
      <c r="D159" s="109">
        <f t="array" ref="D159:D159">IFERROR(INDEX(GroupLookup,MATCH(C159,CategoryList,0)),"")</f>
        <v/>
      </c>
      <c r="E159" s="112" t="n"/>
      <c r="F159" s="76" t="n"/>
      <c r="G159" s="76" t="n"/>
    </row>
    <row r="160" ht="15.75" customHeight="1" s="52">
      <c r="A160" s="108" t="n"/>
      <c r="B160" s="75" t="n"/>
      <c r="C160" s="75" t="n"/>
      <c r="D160" s="109">
        <f t="array" ref="D160:D160">IFERROR(INDEX(GroupLookup,MATCH(C160,CategoryList,0)),"")</f>
        <v/>
      </c>
      <c r="E160" s="110" t="n"/>
      <c r="F160" s="75" t="n"/>
      <c r="G160" s="75" t="n"/>
    </row>
    <row r="161" ht="15.75" customHeight="1" s="52">
      <c r="A161" s="114" t="n"/>
      <c r="B161" s="76" t="n"/>
      <c r="C161" s="76" t="n"/>
      <c r="D161" s="109">
        <f t="array" ref="D161:D161">IFERROR(INDEX(GroupLookup,MATCH(C161,CategoryList,0)),"")</f>
        <v/>
      </c>
      <c r="E161" s="112" t="n"/>
      <c r="F161" s="76" t="n"/>
      <c r="G161" s="76" t="n"/>
    </row>
    <row r="162" ht="15.75" customHeight="1" s="52">
      <c r="A162" s="108" t="n"/>
      <c r="B162" s="75" t="n"/>
      <c r="C162" s="75" t="n"/>
      <c r="D162" s="109">
        <f t="array" ref="D162:D162">IFERROR(INDEX(GroupLookup,MATCH(C162,CategoryList,0)),"")</f>
        <v/>
      </c>
      <c r="E162" s="110" t="n"/>
      <c r="F162" s="75" t="n"/>
      <c r="G162" s="75" t="n"/>
    </row>
    <row r="163" ht="15.75" customHeight="1" s="52">
      <c r="A163" s="114" t="n"/>
      <c r="B163" s="76" t="n"/>
      <c r="C163" s="76" t="n"/>
      <c r="D163" s="109">
        <f t="array" ref="D163:D163">IFERROR(INDEX(GroupLookup,MATCH(C163,CategoryList,0)),"")</f>
        <v/>
      </c>
      <c r="E163" s="112" t="n"/>
      <c r="F163" s="76" t="n"/>
      <c r="G163" s="76" t="n"/>
    </row>
    <row r="164" ht="15.75" customHeight="1" s="52">
      <c r="A164" s="108" t="n"/>
      <c r="B164" s="75" t="n"/>
      <c r="C164" s="75" t="n"/>
      <c r="D164" s="109">
        <f t="array" ref="D164:D164">IFERROR(INDEX(GroupLookup,MATCH(C164,CategoryList,0)),"")</f>
        <v/>
      </c>
      <c r="E164" s="110" t="n"/>
      <c r="F164" s="75" t="n"/>
      <c r="G164" s="75" t="n"/>
    </row>
    <row r="165" ht="15.75" customHeight="1" s="52">
      <c r="A165" s="114" t="n"/>
      <c r="B165" s="76" t="n"/>
      <c r="C165" s="76" t="n"/>
      <c r="D165" s="109">
        <f t="array" ref="D165:D165">IFERROR(INDEX(GroupLookup,MATCH(C165,CategoryList,0)),"")</f>
        <v/>
      </c>
      <c r="E165" s="112" t="n"/>
      <c r="F165" s="76" t="n"/>
      <c r="G165" s="76" t="n"/>
    </row>
    <row r="166" ht="15.75" customHeight="1" s="52">
      <c r="A166" s="108" t="n"/>
      <c r="B166" s="75" t="n"/>
      <c r="C166" s="75" t="n"/>
      <c r="D166" s="109">
        <f t="array" ref="D166:D166">IFERROR(INDEX(GroupLookup,MATCH(C166,CategoryList,0)),"")</f>
        <v/>
      </c>
      <c r="E166" s="110" t="n"/>
      <c r="F166" s="75" t="n"/>
      <c r="G166" s="75" t="n"/>
    </row>
    <row r="167" ht="15.75" customHeight="1" s="52">
      <c r="A167" s="114" t="n"/>
      <c r="B167" s="76" t="n"/>
      <c r="C167" s="76" t="n"/>
      <c r="D167" s="109">
        <f t="array" ref="D167:D167">IFERROR(INDEX(GroupLookup,MATCH(C167,CategoryList,0)),"")</f>
        <v/>
      </c>
      <c r="E167" s="112" t="n"/>
      <c r="F167" s="76" t="n"/>
      <c r="G167" s="76" t="n"/>
    </row>
    <row r="168" ht="15.75" customHeight="1" s="52">
      <c r="A168" s="108" t="n"/>
      <c r="B168" s="75" t="n"/>
      <c r="C168" s="75" t="n"/>
      <c r="D168" s="109">
        <f t="array" ref="D168:D168">IFERROR(INDEX(GroupLookup,MATCH(C168,CategoryList,0)),"")</f>
        <v/>
      </c>
      <c r="E168" s="110" t="n"/>
      <c r="F168" s="75" t="n"/>
      <c r="G168" s="75" t="n"/>
    </row>
    <row r="169" ht="15.75" customHeight="1" s="52">
      <c r="A169" s="114" t="n"/>
      <c r="B169" s="76" t="n"/>
      <c r="C169" s="76" t="n"/>
      <c r="D169" s="109">
        <f t="array" ref="D169:D169">IFERROR(INDEX(GroupLookup,MATCH(C169,CategoryList,0)),"")</f>
        <v/>
      </c>
      <c r="E169" s="112" t="n"/>
      <c r="F169" s="76" t="n"/>
      <c r="G169" s="76" t="n"/>
    </row>
    <row r="170" ht="15.75" customHeight="1" s="52">
      <c r="A170" s="108" t="n"/>
      <c r="B170" s="75" t="n"/>
      <c r="C170" s="75" t="n"/>
      <c r="D170" s="109">
        <f t="array" ref="D170:D170">IFERROR(INDEX(GroupLookup,MATCH(C170,CategoryList,0)),"")</f>
        <v/>
      </c>
      <c r="E170" s="110" t="n"/>
      <c r="F170" s="75" t="n"/>
      <c r="G170" s="75" t="n"/>
    </row>
    <row r="171" ht="15.75" customHeight="1" s="52">
      <c r="A171" s="114" t="n"/>
      <c r="B171" s="76" t="n"/>
      <c r="C171" s="76" t="n"/>
      <c r="D171" s="109">
        <f t="array" ref="D171:D171">IFERROR(INDEX(GroupLookup,MATCH(C171,CategoryList,0)),"")</f>
        <v/>
      </c>
      <c r="E171" s="112" t="n"/>
      <c r="F171" s="76" t="n"/>
      <c r="G171" s="76" t="n"/>
    </row>
    <row r="172" ht="15.75" customHeight="1" s="52">
      <c r="A172" s="108" t="n"/>
      <c r="B172" s="75" t="n"/>
      <c r="C172" s="75" t="n"/>
      <c r="D172" s="109">
        <f t="array" ref="D172:D172">IFERROR(INDEX(GroupLookup,MATCH(C172,CategoryList,0)),"")</f>
        <v/>
      </c>
      <c r="E172" s="110" t="n"/>
      <c r="F172" s="75" t="n"/>
      <c r="G172" s="75" t="n"/>
    </row>
    <row r="173" ht="15.75" customHeight="1" s="52">
      <c r="A173" s="114" t="n"/>
      <c r="B173" s="76" t="n"/>
      <c r="C173" s="76" t="n"/>
      <c r="D173" s="109">
        <f t="array" ref="D173:D173">IFERROR(INDEX(GroupLookup,MATCH(C173,CategoryList,0)),"")</f>
        <v/>
      </c>
      <c r="E173" s="112" t="n"/>
      <c r="F173" s="76" t="n"/>
      <c r="G173" s="76" t="n"/>
    </row>
    <row r="174" ht="15.75" customHeight="1" s="52">
      <c r="A174" s="108" t="n"/>
      <c r="B174" s="75" t="n"/>
      <c r="C174" s="75" t="n"/>
      <c r="D174" s="109">
        <f t="array" ref="D174:D174">IFERROR(INDEX(GroupLookup,MATCH(C174,CategoryList,0)),"")</f>
        <v/>
      </c>
      <c r="E174" s="110" t="n"/>
      <c r="F174" s="75" t="n"/>
      <c r="G174" s="75" t="n"/>
    </row>
    <row r="175" ht="15.75" customHeight="1" s="52">
      <c r="A175" s="114" t="n"/>
      <c r="B175" s="76" t="n"/>
      <c r="C175" s="76" t="n"/>
      <c r="D175" s="109">
        <f t="array" ref="D175:D175">IFERROR(INDEX(GroupLookup,MATCH(C175,CategoryList,0)),"")</f>
        <v/>
      </c>
      <c r="E175" s="112" t="n"/>
      <c r="F175" s="76" t="n"/>
      <c r="G175" s="76" t="n"/>
    </row>
    <row r="176" ht="15.75" customHeight="1" s="52">
      <c r="A176" s="108" t="n"/>
      <c r="B176" s="75" t="n"/>
      <c r="C176" s="75" t="n"/>
      <c r="D176" s="109">
        <f t="array" ref="D176:D176">IFERROR(INDEX(GroupLookup,MATCH(C176,CategoryList,0)),"")</f>
        <v/>
      </c>
      <c r="E176" s="110" t="n"/>
      <c r="F176" s="75" t="n"/>
      <c r="G176" s="75" t="n"/>
    </row>
    <row r="177" ht="15.75" customHeight="1" s="52">
      <c r="A177" s="114" t="n"/>
      <c r="B177" s="76" t="n"/>
      <c r="C177" s="76" t="n"/>
      <c r="D177" s="109">
        <f t="array" ref="D177:D177">IFERROR(INDEX(GroupLookup,MATCH(C177,CategoryList,0)),"")</f>
        <v/>
      </c>
      <c r="E177" s="112" t="n"/>
      <c r="F177" s="76" t="n"/>
      <c r="G177" s="76" t="n"/>
    </row>
    <row r="178" ht="15.75" customHeight="1" s="52">
      <c r="A178" s="108" t="n"/>
      <c r="B178" s="75" t="n"/>
      <c r="C178" s="75" t="n"/>
      <c r="D178" s="109">
        <f t="array" ref="D178:D178">IFERROR(INDEX(GroupLookup,MATCH(C178,CategoryList,0)),"")</f>
        <v/>
      </c>
      <c r="E178" s="110" t="n"/>
      <c r="F178" s="75" t="n"/>
      <c r="G178" s="75" t="n"/>
    </row>
    <row r="179" ht="15.75" customHeight="1" s="52">
      <c r="A179" s="114" t="n"/>
      <c r="B179" s="76" t="n"/>
      <c r="C179" s="76" t="n"/>
      <c r="D179" s="109">
        <f t="array" ref="D179:D179">IFERROR(INDEX(GroupLookup,MATCH(C179,CategoryList,0)),"")</f>
        <v/>
      </c>
      <c r="E179" s="112" t="n"/>
      <c r="F179" s="76" t="n"/>
      <c r="G179" s="76" t="n"/>
    </row>
    <row r="180" ht="15.75" customHeight="1" s="52">
      <c r="A180" s="108" t="n"/>
      <c r="B180" s="75" t="n"/>
      <c r="C180" s="75" t="n"/>
      <c r="D180" s="109">
        <f t="array" ref="D180:D180">IFERROR(INDEX(GroupLookup,MATCH(C180,CategoryList,0)),"")</f>
        <v/>
      </c>
      <c r="E180" s="110" t="n"/>
      <c r="F180" s="75" t="n"/>
      <c r="G180" s="75" t="n"/>
    </row>
    <row r="181" ht="15.75" customHeight="1" s="52">
      <c r="A181" s="114" t="n"/>
      <c r="B181" s="76" t="n"/>
      <c r="C181" s="76" t="n"/>
      <c r="D181" s="109">
        <f t="array" ref="D181:D181">IFERROR(INDEX(GroupLookup,MATCH(C181,CategoryList,0)),"")</f>
        <v/>
      </c>
      <c r="E181" s="112" t="n"/>
      <c r="F181" s="76" t="n"/>
      <c r="G181" s="76" t="n"/>
    </row>
    <row r="182" ht="15.75" customHeight="1" s="52">
      <c r="A182" s="108" t="n"/>
      <c r="B182" s="75" t="n"/>
      <c r="C182" s="75" t="n"/>
      <c r="D182" s="109">
        <f t="array" ref="D182:D182">IFERROR(INDEX(GroupLookup,MATCH(C182,CategoryList,0)),"")</f>
        <v/>
      </c>
      <c r="E182" s="110" t="n"/>
      <c r="F182" s="75" t="n"/>
      <c r="G182" s="75" t="n"/>
    </row>
    <row r="183" ht="15.75" customHeight="1" s="52">
      <c r="A183" s="114" t="n"/>
      <c r="B183" s="76" t="n"/>
      <c r="C183" s="76" t="n"/>
      <c r="D183" s="109">
        <f t="array" ref="D183:D183">IFERROR(INDEX(GroupLookup,MATCH(C183,CategoryList,0)),"")</f>
        <v/>
      </c>
      <c r="E183" s="112" t="n"/>
      <c r="F183" s="76" t="n"/>
      <c r="G183" s="76" t="n"/>
    </row>
    <row r="184" ht="15.75" customHeight="1" s="52">
      <c r="A184" s="108" t="n"/>
      <c r="B184" s="75" t="n"/>
      <c r="C184" s="75" t="n"/>
      <c r="D184" s="109">
        <f t="array" ref="D184:D184">IFERROR(INDEX(GroupLookup,MATCH(C184,CategoryList,0)),"")</f>
        <v/>
      </c>
      <c r="E184" s="110" t="n"/>
      <c r="F184" s="75" t="n"/>
      <c r="G184" s="75" t="n"/>
    </row>
    <row r="185" ht="15.75" customHeight="1" s="52">
      <c r="A185" s="114" t="n"/>
      <c r="B185" s="76" t="n"/>
      <c r="C185" s="76" t="n"/>
      <c r="D185" s="109">
        <f t="array" ref="D185:D185">IFERROR(INDEX(GroupLookup,MATCH(C185,CategoryList,0)),"")</f>
        <v/>
      </c>
      <c r="E185" s="112" t="n"/>
      <c r="F185" s="76" t="n"/>
      <c r="G185" s="76" t="n"/>
    </row>
    <row r="186" ht="15.75" customHeight="1" s="52">
      <c r="A186" s="108" t="n"/>
      <c r="B186" s="75" t="n"/>
      <c r="C186" s="75" t="n"/>
      <c r="D186" s="109">
        <f t="array" ref="D186:D186">IFERROR(INDEX(GroupLookup,MATCH(C186,CategoryList,0)),"")</f>
        <v/>
      </c>
      <c r="E186" s="110" t="n"/>
      <c r="F186" s="75" t="n"/>
      <c r="G186" s="75" t="n"/>
    </row>
    <row r="187" ht="15.75" customHeight="1" s="52">
      <c r="A187" s="114" t="n"/>
      <c r="B187" s="76" t="n"/>
      <c r="C187" s="76" t="n"/>
      <c r="D187" s="109">
        <f t="array" ref="D187:D187">IFERROR(INDEX(GroupLookup,MATCH(C187,CategoryList,0)),"")</f>
        <v/>
      </c>
      <c r="E187" s="112" t="n"/>
      <c r="F187" s="76" t="n"/>
      <c r="G187" s="76" t="n"/>
    </row>
    <row r="188" ht="15.75" customHeight="1" s="52">
      <c r="A188" s="108" t="n"/>
      <c r="B188" s="75" t="n"/>
      <c r="C188" s="75" t="n"/>
      <c r="D188" s="109">
        <f t="array" ref="D188:D188">IFERROR(INDEX(GroupLookup,MATCH(C188,CategoryList,0)),"")</f>
        <v/>
      </c>
      <c r="E188" s="110" t="n"/>
      <c r="F188" s="75" t="n"/>
      <c r="G188" s="75" t="n"/>
    </row>
    <row r="189" ht="15.75" customHeight="1" s="52">
      <c r="A189" s="114" t="n"/>
      <c r="B189" s="76" t="n"/>
      <c r="C189" s="76" t="n"/>
      <c r="D189" s="109">
        <f t="array" ref="D189:D189">IFERROR(INDEX(GroupLookup,MATCH(C189,CategoryList,0)),"")</f>
        <v/>
      </c>
      <c r="E189" s="112" t="n"/>
      <c r="F189" s="76" t="n"/>
      <c r="G189" s="76" t="n"/>
    </row>
    <row r="190" ht="15.75" customHeight="1" s="52">
      <c r="A190" s="108" t="n"/>
      <c r="B190" s="75" t="n"/>
      <c r="C190" s="75" t="n"/>
      <c r="D190" s="109">
        <f t="array" ref="D190:D190">IFERROR(INDEX(GroupLookup,MATCH(C190,CategoryList,0)),"")</f>
        <v/>
      </c>
      <c r="E190" s="110" t="n"/>
      <c r="F190" s="75" t="n"/>
      <c r="G190" s="75" t="n"/>
    </row>
    <row r="191" ht="15.75" customHeight="1" s="52">
      <c r="A191" s="114" t="n"/>
      <c r="B191" s="76" t="n"/>
      <c r="C191" s="76" t="n"/>
      <c r="D191" s="109">
        <f t="array" ref="D191:D191">IFERROR(INDEX(GroupLookup,MATCH(C191,CategoryList,0)),"")</f>
        <v/>
      </c>
      <c r="E191" s="112" t="n"/>
      <c r="F191" s="76" t="n"/>
      <c r="G191" s="76" t="n"/>
    </row>
    <row r="192" ht="15.75" customHeight="1" s="52">
      <c r="A192" s="108" t="n"/>
      <c r="B192" s="75" t="n"/>
      <c r="C192" s="75" t="n"/>
      <c r="D192" s="109">
        <f t="array" ref="D192:D192">IFERROR(INDEX(GroupLookup,MATCH(C192,CategoryList,0)),"")</f>
        <v/>
      </c>
      <c r="E192" s="110" t="n"/>
      <c r="F192" s="75" t="n"/>
      <c r="G192" s="75" t="n"/>
    </row>
    <row r="193" ht="15.75" customHeight="1" s="52">
      <c r="A193" s="114" t="n"/>
      <c r="B193" s="76" t="n"/>
      <c r="C193" s="76" t="n"/>
      <c r="D193" s="109">
        <f t="array" ref="D193:D193">IFERROR(INDEX(GroupLookup,MATCH(C193,CategoryList,0)),"")</f>
        <v/>
      </c>
      <c r="E193" s="112" t="n"/>
      <c r="F193" s="76" t="n"/>
      <c r="G193" s="76" t="n"/>
    </row>
    <row r="194" ht="15.75" customHeight="1" s="52">
      <c r="A194" s="108" t="n"/>
      <c r="B194" s="75" t="n"/>
      <c r="C194" s="75" t="n"/>
      <c r="D194" s="109">
        <f t="array" ref="D194:D194">IFERROR(INDEX(GroupLookup,MATCH(C194,CategoryList,0)),"")</f>
        <v/>
      </c>
      <c r="E194" s="110" t="n"/>
      <c r="F194" s="75" t="n"/>
      <c r="G194" s="75" t="n"/>
    </row>
    <row r="195" ht="15.75" customHeight="1" s="52">
      <c r="A195" s="114" t="n"/>
      <c r="B195" s="76" t="n"/>
      <c r="C195" s="76" t="n"/>
      <c r="D195" s="109">
        <f t="array" ref="D195:D195">IFERROR(INDEX(GroupLookup,MATCH(C195,CategoryList,0)),"")</f>
        <v/>
      </c>
      <c r="E195" s="112" t="n"/>
      <c r="F195" s="76" t="n"/>
      <c r="G195" s="76" t="n"/>
    </row>
    <row r="196" ht="15.75" customHeight="1" s="52">
      <c r="A196" s="108" t="n"/>
      <c r="B196" s="75" t="n"/>
      <c r="C196" s="75" t="n"/>
      <c r="D196" s="109">
        <f t="array" ref="D196:D196">IFERROR(INDEX(GroupLookup,MATCH(C196,CategoryList,0)),"")</f>
        <v/>
      </c>
      <c r="E196" s="110" t="n"/>
      <c r="F196" s="75" t="n"/>
      <c r="G196" s="75" t="n"/>
    </row>
    <row r="197" ht="15.75" customHeight="1" s="52">
      <c r="A197" s="114" t="n"/>
      <c r="B197" s="76" t="n"/>
      <c r="C197" s="76" t="n"/>
      <c r="D197" s="109">
        <f t="array" ref="D197:D197">IFERROR(INDEX(GroupLookup,MATCH(C197,CategoryList,0)),"")</f>
        <v/>
      </c>
      <c r="E197" s="112" t="n"/>
      <c r="F197" s="76" t="n"/>
      <c r="G197" s="76" t="n"/>
    </row>
    <row r="198" ht="15.75" customHeight="1" s="52">
      <c r="A198" s="108" t="n"/>
      <c r="B198" s="75" t="n"/>
      <c r="C198" s="75" t="n"/>
      <c r="D198" s="109">
        <f t="array" ref="D198:D198">IFERROR(INDEX(GroupLookup,MATCH(C198,CategoryList,0)),"")</f>
        <v/>
      </c>
      <c r="E198" s="110" t="n"/>
      <c r="F198" s="75" t="n"/>
      <c r="G198" s="75" t="n"/>
    </row>
    <row r="199" ht="15.75" customHeight="1" s="52">
      <c r="A199" s="114" t="n"/>
      <c r="B199" s="76" t="n"/>
      <c r="C199" s="76" t="n"/>
      <c r="D199" s="109">
        <f t="array" ref="D199:D199">IFERROR(INDEX(GroupLookup,MATCH(C199,CategoryList,0)),"")</f>
        <v/>
      </c>
      <c r="E199" s="112" t="n"/>
      <c r="F199" s="76" t="n"/>
      <c r="G199" s="76" t="n"/>
    </row>
    <row r="200" ht="15.75" customHeight="1" s="52">
      <c r="A200" s="108" t="n"/>
      <c r="B200" s="75" t="n"/>
      <c r="C200" s="75" t="n"/>
      <c r="D200" s="109">
        <f t="array" ref="D200:D200">IFERROR(INDEX(GroupLookup,MATCH(C200,CategoryList,0)),"")</f>
        <v/>
      </c>
      <c r="E200" s="110" t="n"/>
      <c r="F200" s="75" t="n"/>
      <c r="G200" s="75" t="n"/>
    </row>
    <row r="201" ht="15.75" customHeight="1" s="52">
      <c r="A201" s="114" t="n"/>
      <c r="B201" s="76" t="n"/>
      <c r="C201" s="76" t="n"/>
      <c r="D201" s="109">
        <f t="array" ref="D201:D201">IFERROR(INDEX(GroupLookup,MATCH(C201,CategoryList,0)),"")</f>
        <v/>
      </c>
      <c r="E201" s="112" t="n"/>
      <c r="F201" s="76" t="n"/>
      <c r="G201" s="76" t="n"/>
    </row>
    <row r="202" ht="15.75" customHeight="1" s="52">
      <c r="A202" s="108" t="n"/>
      <c r="B202" s="75" t="n"/>
      <c r="C202" s="75" t="n"/>
      <c r="D202" s="109">
        <f t="array" ref="D202:D202">IFERROR(INDEX(GroupLookup,MATCH(C202,CategoryList,0)),"")</f>
        <v/>
      </c>
      <c r="E202" s="110" t="n"/>
      <c r="F202" s="75" t="n"/>
      <c r="G202" s="75" t="n"/>
    </row>
    <row r="203" ht="15.75" customHeight="1" s="52">
      <c r="A203" s="114" t="n"/>
      <c r="B203" s="76" t="n"/>
      <c r="C203" s="76" t="n"/>
      <c r="D203" s="109">
        <f t="array" ref="D203:D203">IFERROR(INDEX(GroupLookup,MATCH(C203,CategoryList,0)),"")</f>
        <v/>
      </c>
      <c r="E203" s="112" t="n"/>
      <c r="F203" s="76" t="n"/>
      <c r="G203" s="76" t="n"/>
    </row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autoFilter ref="A3:G203"/>
  <mergeCells count="12">
    <mergeCell ref="A1:G1"/>
    <mergeCell ref="J20:K20"/>
    <mergeCell ref="I2:K2"/>
    <mergeCell ref="I14:K14"/>
    <mergeCell ref="J16:K16"/>
    <mergeCell ref="J15:K15"/>
    <mergeCell ref="I1:K1"/>
    <mergeCell ref="J18:K18"/>
    <mergeCell ref="J19:K19"/>
    <mergeCell ref="A2:G2"/>
    <mergeCell ref="I21:K21"/>
    <mergeCell ref="J17:K17"/>
  </mergeCells>
  <conditionalFormatting sqref="J13">
    <cfRule type="expression" rank="0" priority="2" equalAverage="0" aboveAverage="0" dxfId="0" text="" percent="0" bottom="0">
      <formula>$J$13&lt;&gt;0</formula>
    </cfRule>
  </conditionalFormatting>
  <conditionalFormatting sqref="A4:G203">
    <cfRule type="expression" rank="0" priority="3" equalAverage="0" aboveAverage="0" dxfId="7" text="" percent="0" bottom="0">
      <formula>AND($E4&gt;0,$D4="")</formula>
    </cfRule>
  </conditionalFormatting>
  <dataValidations count="4">
    <dataValidation sqref="E4:E203" showDropDown="0" showInputMessage="0" showErrorMessage="1" allowBlank="1" errorTitle="পরিমাণ ঋণাত্মক হতে পারে না" error="শুধু শূন্য বা তার বেশি সংখ্যা লিখুন। টাকার চিহ্ন নিজে থেকে বসবে।" type="decimal" errorStyle="stop" operator="greaterThanOrEqual">
      <formula1>0</formula1>
      <formula2>0</formula2>
    </dataValidation>
    <dataValidation sqref="C4:C203" showDropDown="0" showInputMessage="0" showErrorMessage="1" allowBlank="1" errorTitle="খাত তালিকায় নেই" error="ড্রপ-ডাউন থেকে একটি খাত বেছে নিন। তালিকার বাইরের খাত লিখলে ‘গ্রুপ’ কলাম খালি থাকবে এবং খরচটি গ্রুপভিত্তিক হিসাবে ধরা পড়বে না। নতুন খাত দরকার হলে ‘সেটিংস’ শিটে যোগ করুন।" type="list" errorStyle="stop" operator="between">
      <formula1>CategoryList</formula1>
      <formula2>0</formula2>
    </dataValidation>
    <dataValidation sqref="A4:A203" showDropDown="0" showInputMessage="0" showErrorMessage="1" allowBlank="1" errorTitle="তারিখ এই মাসের বাইরে" error="তারিখটি এই শিটের মাসের মধ্যে পড়ছে না। ভুল হলে ঠিক করুন, নয়তো ‘হ্যাঁ’ চেপে রেখে দিন।" type="date" errorStyle="warning" operator="between">
      <formula1>DATE(2026,2,1)</formula1>
      <formula2>DATE(2026,2,28)</formula2>
    </dataValidation>
    <dataValidation sqref="F4:F203" showDropDown="0" showInputMessage="0" showErrorMessage="1" allowBlank="1" errorTitle="পেমেন্ট মাধ্যম তালিকায় নেই" error="ড্রপ-ডাউন থেকে একটি পেমেন্ট মাধ্যম বেছে নিন।" type="list" errorStyle="stop" operator="between">
      <formula1>PaymentList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2E5C99"/>
    <outlinePr summaryBelow="1" summaryRight="1"/>
    <pageSetUpPr fitToPage="0"/>
  </sheetPr>
  <dimension ref="A1:K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3359375" defaultRowHeight="15" zeroHeight="0" outlineLevelRow="0"/>
  <cols>
    <col width="13" customWidth="1" style="51" min="1" max="1"/>
    <col width="34" customWidth="1" style="51" min="2" max="2"/>
    <col width="26" customWidth="1" style="51" min="3" max="3"/>
    <col width="24" customWidth="1" style="51" min="4" max="4"/>
    <col width="15" customWidth="1" style="51" min="5" max="5"/>
    <col width="20" customWidth="1" style="51" min="6" max="6"/>
    <col width="26" customWidth="1" style="51" min="7" max="7"/>
    <col width="3" customWidth="1" style="51" min="8" max="8"/>
    <col width="30" customWidth="1" style="51" min="9" max="9"/>
    <col width="17" customWidth="1" style="51" min="10" max="10"/>
    <col width="12" customWidth="1" style="51" min="11" max="11"/>
    <col width="8.710000000000001" customWidth="1" style="51" min="12" max="26"/>
  </cols>
  <sheetData>
    <row r="1" ht="25.5" customHeight="1" s="52">
      <c r="A1" s="104" t="inlineStr">
        <is>
          <t>দৈনিক খরচের হিসাব  —  মার্চ ২০২৬</t>
        </is>
      </c>
      <c r="I1" s="105" t="inlineStr">
        <is>
          <t>মাসিক সারসংক্ষেপ</t>
        </is>
      </c>
    </row>
    <row r="2" ht="15.75" customHeight="1" s="52">
      <c r="A2" s="59" t="inlineStr">
        <is>
          <t>শুধু  তারিখ · বিবরণ · খাত · পরিমাণ · পেমেন্ট মাধ্যম · মন্তব্য  ঘরগুলো পূরণ করুন। ‘গ্রুপ’ কলাম স্বয়ংক্রিয়ভাবে পূরণ হবে।</t>
        </is>
      </c>
      <c r="I2" s="106" t="n"/>
    </row>
    <row r="3" ht="21.75" customHeight="1" s="52">
      <c r="A3" s="107" t="inlineStr">
        <is>
          <t>তারিখ</t>
        </is>
      </c>
      <c r="B3" s="107" t="inlineStr">
        <is>
          <t>বিবরণ</t>
        </is>
      </c>
      <c r="C3" s="107" t="inlineStr">
        <is>
          <t>খাত</t>
        </is>
      </c>
      <c r="D3" s="107" t="inlineStr">
        <is>
          <t>গ্রুপ</t>
        </is>
      </c>
      <c r="E3" s="107" t="inlineStr">
        <is>
          <t>পরিমাণ (৳)</t>
        </is>
      </c>
      <c r="F3" s="107" t="inlineStr">
        <is>
          <t>পেমেন্ট মাধ্যম</t>
        </is>
      </c>
      <c r="G3" s="107" t="inlineStr">
        <is>
          <t>মন্তব্য</t>
        </is>
      </c>
      <c r="I3" s="100" t="inlineStr">
        <is>
          <t>গ্রুপ (প্রধান খাত)</t>
        </is>
      </c>
      <c r="J3" s="100" t="inlineStr">
        <is>
          <t>মোট (৳)</t>
        </is>
      </c>
      <c r="K3" s="100" t="inlineStr">
        <is>
          <t>শতাংশ</t>
        </is>
      </c>
    </row>
    <row r="4" ht="15" customHeight="1" s="52">
      <c r="A4" s="108" t="n"/>
      <c r="B4" s="75" t="n"/>
      <c r="C4" s="75" t="n"/>
      <c r="D4" s="109">
        <f t="array" ref="D4:D4">IFERROR(INDEX(GroupLookup,MATCH(C4,CategoryList,0)),"")</f>
        <v/>
      </c>
      <c r="E4" s="110" t="n"/>
      <c r="F4" s="75" t="n"/>
      <c r="G4" s="75" t="n"/>
      <c r="I4" s="75" t="inlineStr">
        <is>
          <t>খাদ্য ও মুদি</t>
        </is>
      </c>
      <c r="J4" s="110">
        <f>SUMIF($D$4:$D$203,$I4,$E$4:$E$203)</f>
        <v/>
      </c>
      <c r="K4" s="111">
        <f>IFERROR($J4/$J$12,0)</f>
        <v/>
      </c>
    </row>
    <row r="5" ht="15" customHeight="1" s="52">
      <c r="A5" s="114" t="n"/>
      <c r="B5" s="76" t="n"/>
      <c r="C5" s="76" t="n"/>
      <c r="D5" s="109">
        <f t="array" ref="D5:D5">IFERROR(INDEX(GroupLookup,MATCH(C5,CategoryList,0)),"")</f>
        <v/>
      </c>
      <c r="E5" s="112" t="n"/>
      <c r="F5" s="76" t="n"/>
      <c r="G5" s="76" t="n"/>
      <c r="I5" s="76" t="inlineStr">
        <is>
          <t>বাসস্থান</t>
        </is>
      </c>
      <c r="J5" s="112">
        <f>SUMIF($D$4:$D$203,$I5,$E$4:$E$203)</f>
        <v/>
      </c>
      <c r="K5" s="113">
        <f>IFERROR($J5/$J$12,0)</f>
        <v/>
      </c>
    </row>
    <row r="6" ht="15" customHeight="1" s="52">
      <c r="A6" s="108" t="n"/>
      <c r="B6" s="75" t="n"/>
      <c r="C6" s="75" t="n"/>
      <c r="D6" s="109">
        <f t="array" ref="D6:D6">IFERROR(INDEX(GroupLookup,MATCH(C6,CategoryList,0)),"")</f>
        <v/>
      </c>
      <c r="E6" s="110" t="n"/>
      <c r="F6" s="75" t="n"/>
      <c r="G6" s="75" t="n"/>
      <c r="I6" s="75" t="inlineStr">
        <is>
          <t>ইউটিলিটি বিল</t>
        </is>
      </c>
      <c r="J6" s="110">
        <f>SUMIF($D$4:$D$203,$I6,$E$4:$E$203)</f>
        <v/>
      </c>
      <c r="K6" s="111">
        <f>IFERROR($J6/$J$12,0)</f>
        <v/>
      </c>
    </row>
    <row r="7" ht="15" customHeight="1" s="52">
      <c r="A7" s="114" t="n"/>
      <c r="B7" s="76" t="n"/>
      <c r="C7" s="76" t="n"/>
      <c r="D7" s="109">
        <f t="array" ref="D7:D7">IFERROR(INDEX(GroupLookup,MATCH(C7,CategoryList,0)),"")</f>
        <v/>
      </c>
      <c r="E7" s="112" t="n"/>
      <c r="F7" s="76" t="n"/>
      <c r="G7" s="76" t="n"/>
      <c r="I7" s="76" t="inlineStr">
        <is>
          <t>যাতায়াত</t>
        </is>
      </c>
      <c r="J7" s="112">
        <f>SUMIF($D$4:$D$203,$I7,$E$4:$E$203)</f>
        <v/>
      </c>
      <c r="K7" s="113">
        <f>IFERROR($J7/$J$12,0)</f>
        <v/>
      </c>
    </row>
    <row r="8" ht="15" customHeight="1" s="52">
      <c r="A8" s="108" t="n"/>
      <c r="B8" s="75" t="n"/>
      <c r="C8" s="75" t="n"/>
      <c r="D8" s="109">
        <f t="array" ref="D8:D8">IFERROR(INDEX(GroupLookup,MATCH(C8,CategoryList,0)),"")</f>
        <v/>
      </c>
      <c r="E8" s="110" t="n"/>
      <c r="F8" s="75" t="n"/>
      <c r="G8" s="75" t="n"/>
      <c r="I8" s="75" t="inlineStr">
        <is>
          <t>স্বাস্থ্য</t>
        </is>
      </c>
      <c r="J8" s="110">
        <f>SUMIF($D$4:$D$203,$I8,$E$4:$E$203)</f>
        <v/>
      </c>
      <c r="K8" s="111">
        <f>IFERROR($J8/$J$12,0)</f>
        <v/>
      </c>
    </row>
    <row r="9" ht="15" customHeight="1" s="52">
      <c r="A9" s="114" t="n"/>
      <c r="B9" s="76" t="n"/>
      <c r="C9" s="76" t="n"/>
      <c r="D9" s="109">
        <f t="array" ref="D9:D9">IFERROR(INDEX(GroupLookup,MATCH(C9,CategoryList,0)),"")</f>
        <v/>
      </c>
      <c r="E9" s="112" t="n"/>
      <c r="F9" s="76" t="n"/>
      <c r="G9" s="76" t="n"/>
      <c r="I9" s="76" t="inlineStr">
        <is>
          <t>শিক্ষা</t>
        </is>
      </c>
      <c r="J9" s="112">
        <f>SUMIF($D$4:$D$203,$I9,$E$4:$E$203)</f>
        <v/>
      </c>
      <c r="K9" s="113">
        <f>IFERROR($J9/$J$12,0)</f>
        <v/>
      </c>
    </row>
    <row r="10" ht="15" customHeight="1" s="52">
      <c r="A10" s="108" t="n"/>
      <c r="B10" s="75" t="n"/>
      <c r="C10" s="75" t="n"/>
      <c r="D10" s="109">
        <f t="array" ref="D10:D10">IFERROR(INDEX(GroupLookup,MATCH(C10,CategoryList,0)),"")</f>
        <v/>
      </c>
      <c r="E10" s="110" t="n"/>
      <c r="F10" s="75" t="n"/>
      <c r="G10" s="75" t="n"/>
      <c r="I10" s="75" t="inlineStr">
        <is>
          <t>ব্যক্তিগত ও গৃহস্থালি</t>
        </is>
      </c>
      <c r="J10" s="110">
        <f>SUMIF($D$4:$D$203,$I10,$E$4:$E$203)</f>
        <v/>
      </c>
      <c r="K10" s="111">
        <f>IFERROR($J10/$J$12,0)</f>
        <v/>
      </c>
    </row>
    <row r="11" ht="15" customHeight="1" s="52">
      <c r="A11" s="114" t="n"/>
      <c r="B11" s="76" t="n"/>
      <c r="C11" s="76" t="n"/>
      <c r="D11" s="109">
        <f t="array" ref="D11:D11">IFERROR(INDEX(GroupLookup,MATCH(C11,CategoryList,0)),"")</f>
        <v/>
      </c>
      <c r="E11" s="112" t="n"/>
      <c r="F11" s="76" t="n"/>
      <c r="G11" s="76" t="n"/>
      <c r="I11" s="76" t="inlineStr">
        <is>
          <t>অন্যান্য</t>
        </is>
      </c>
      <c r="J11" s="112">
        <f>SUMIF($D$4:$D$203,$I11,$E$4:$E$203)</f>
        <v/>
      </c>
      <c r="K11" s="113">
        <f>IFERROR($J11/$J$12,0)</f>
        <v/>
      </c>
    </row>
    <row r="12" ht="15" customHeight="1" s="52">
      <c r="A12" s="108" t="n"/>
      <c r="B12" s="75" t="n"/>
      <c r="C12" s="75" t="n"/>
      <c r="D12" s="109">
        <f t="array" ref="D12:D12">IFERROR(INDEX(GroupLookup,MATCH(C12,CategoryList,0)),"")</f>
        <v/>
      </c>
      <c r="E12" s="110" t="n"/>
      <c r="F12" s="75" t="n"/>
      <c r="G12" s="75" t="n"/>
      <c r="I12" s="72" t="inlineStr">
        <is>
          <t>মোট মাসিক ব্যয়</t>
        </is>
      </c>
      <c r="J12" s="117">
        <f>SUM($E$4:$E$203)</f>
        <v/>
      </c>
      <c r="K12" s="118">
        <f>IFERROR($J$12/$J$12,0)</f>
        <v/>
      </c>
    </row>
    <row r="13" ht="15" customHeight="1" s="52">
      <c r="A13" s="114" t="n"/>
      <c r="B13" s="76" t="n"/>
      <c r="C13" s="76" t="n"/>
      <c r="D13" s="109">
        <f t="array" ref="D13:D13">IFERROR(INDEX(GroupLookup,MATCH(C13,CategoryList,0)),"")</f>
        <v/>
      </c>
      <c r="E13" s="112" t="n"/>
      <c r="F13" s="76" t="n"/>
      <c r="G13" s="76" t="n"/>
      <c r="I13" s="74" t="inlineStr">
        <is>
          <t>শ্রেণিবিন্যাসহীন (খাত তালিকায় নেই)</t>
        </is>
      </c>
      <c r="J13" s="117">
        <f>$J$12-SUM($J$4:$J$11)</f>
        <v/>
      </c>
      <c r="K13" s="118">
        <f>IFERROR($J13/$J$12,0)</f>
        <v/>
      </c>
    </row>
    <row r="14" ht="25.5" customHeight="1" s="52">
      <c r="A14" s="108" t="n"/>
      <c r="B14" s="75" t="n"/>
      <c r="C14" s="75" t="n"/>
      <c r="D14" s="109">
        <f t="array" ref="D14:D14">IFERROR(INDEX(GroupLookup,MATCH(C14,CategoryList,0)),"")</f>
        <v/>
      </c>
      <c r="E14" s="110" t="n"/>
      <c r="F14" s="75" t="n"/>
      <c r="G14" s="75" t="n"/>
      <c r="I14" s="119" t="inlineStr">
        <is>
          <t>গুরুত্বপূর্ণ তথ্য</t>
        </is>
      </c>
    </row>
    <row r="15" ht="15" customHeight="1" s="52">
      <c r="A15" s="114" t="n"/>
      <c r="B15" s="76" t="n"/>
      <c r="C15" s="76" t="n"/>
      <c r="D15" s="109">
        <f t="array" ref="D15:D15">IFERROR(INDEX(GroupLookup,MATCH(C15,CategoryList,0)),"")</f>
        <v/>
      </c>
      <c r="E15" s="112" t="n"/>
      <c r="F15" s="76" t="n"/>
      <c r="G15" s="76" t="n"/>
      <c r="I15" s="67" t="inlineStr">
        <is>
          <t>মোট লেনদেন সংখ্যা</t>
        </is>
      </c>
      <c r="J15" s="120">
        <f>COUNT($E$4:$E$203)</f>
        <v/>
      </c>
      <c r="K15" s="62" t="n"/>
    </row>
    <row r="16" ht="15" customHeight="1" s="52">
      <c r="A16" s="108" t="n"/>
      <c r="B16" s="75" t="n"/>
      <c r="C16" s="75" t="n"/>
      <c r="D16" s="109">
        <f t="array" ref="D16:D16">IFERROR(INDEX(GroupLookup,MATCH(C16,CategoryList,0)),"")</f>
        <v/>
      </c>
      <c r="E16" s="110" t="n"/>
      <c r="F16" s="75" t="n"/>
      <c r="G16" s="75" t="n"/>
      <c r="I16" s="70" t="inlineStr">
        <is>
          <t>দৈনিক গড় খরচ</t>
        </is>
      </c>
      <c r="J16" s="121">
        <f>IFERROR($J$12/31,0)</f>
        <v/>
      </c>
      <c r="K16" s="62" t="n"/>
    </row>
    <row r="17" ht="15" customHeight="1" s="52">
      <c r="A17" s="114" t="n"/>
      <c r="B17" s="76" t="n"/>
      <c r="C17" s="76" t="n"/>
      <c r="D17" s="109">
        <f t="array" ref="D17:D17">IFERROR(INDEX(GroupLookup,MATCH(C17,CategoryList,0)),"")</f>
        <v/>
      </c>
      <c r="E17" s="112" t="n"/>
      <c r="F17" s="76" t="n"/>
      <c r="G17" s="76" t="n"/>
      <c r="I17" s="67" t="inlineStr">
        <is>
          <t>প্রতি লেনদেনে গড়</t>
        </is>
      </c>
      <c r="J17" s="122">
        <f>IFERROR($J$12/COUNT($E$4:$E$203),0)</f>
        <v/>
      </c>
      <c r="K17" s="62" t="n"/>
    </row>
    <row r="18" ht="15" customHeight="1" s="52">
      <c r="A18" s="108" t="n"/>
      <c r="B18" s="75" t="n"/>
      <c r="C18" s="75" t="n"/>
      <c r="D18" s="109">
        <f t="array" ref="D18:D18">IFERROR(INDEX(GroupLookup,MATCH(C18,CategoryList,0)),"")</f>
        <v/>
      </c>
      <c r="E18" s="110" t="n"/>
      <c r="F18" s="75" t="n"/>
      <c r="G18" s="75" t="n"/>
      <c r="I18" s="70" t="inlineStr">
        <is>
          <t>সর্বোচ্চ একক খরচ</t>
        </is>
      </c>
      <c r="J18" s="121">
        <f>IFERROR(MAX($E$4:$E$203),0)</f>
        <v/>
      </c>
      <c r="K18" s="62" t="n"/>
    </row>
    <row r="19" ht="15" customHeight="1" s="52">
      <c r="A19" s="114" t="n"/>
      <c r="B19" s="76" t="n"/>
      <c r="C19" s="76" t="n"/>
      <c r="D19" s="109">
        <f t="array" ref="D19:D19">IFERROR(INDEX(GroupLookup,MATCH(C19,CategoryList,0)),"")</f>
        <v/>
      </c>
      <c r="E19" s="112" t="n"/>
      <c r="F19" s="76" t="n"/>
      <c r="G19" s="76" t="n"/>
      <c r="I19" s="67" t="inlineStr">
        <is>
          <t>সর্বোচ্চ ব্যয়ের গ্রুপ</t>
        </is>
      </c>
      <c r="J19" s="123">
        <f t="array" ref="J19:J19">IF($J$12=0,"–",IFERROR(INDEX($I$4:$I$11,MATCH(MAX($J$4:$J$11),$J$4:$J$11,0)),"–"))</f>
        <v/>
      </c>
      <c r="K19" s="62" t="n"/>
    </row>
    <row r="20" ht="15" customHeight="1" s="52">
      <c r="A20" s="108" t="n"/>
      <c r="B20" s="75" t="n"/>
      <c r="C20" s="75" t="n"/>
      <c r="D20" s="109">
        <f t="array" ref="D20:D20">IFERROR(INDEX(GroupLookup,MATCH(C20,CategoryList,0)),"")</f>
        <v/>
      </c>
      <c r="E20" s="110" t="n"/>
      <c r="F20" s="75" t="n"/>
      <c r="G20" s="75" t="n"/>
      <c r="I20" s="70" t="inlineStr">
        <is>
          <t>সর্বোচ্চ ব্যয়ের খাত</t>
        </is>
      </c>
      <c r="J20" s="124">
        <f t="array" ref="J20:J20">IF($J$12=0,"–",IFERROR(INDEX($I$23:$I$76,MATCH(MAX($J$23:$J$76),$J$23:$J$76,0)),"–"))</f>
        <v/>
      </c>
      <c r="K20" s="62" t="n"/>
    </row>
    <row r="21" ht="25.5" customHeight="1" s="52">
      <c r="A21" s="114" t="n"/>
      <c r="B21" s="76" t="n"/>
      <c r="C21" s="76" t="n"/>
      <c r="D21" s="109">
        <f t="array" ref="D21:D21">IFERROR(INDEX(GroupLookup,MATCH(C21,CategoryList,0)),"")</f>
        <v/>
      </c>
      <c r="E21" s="112" t="n"/>
      <c r="F21" s="76" t="n"/>
      <c r="G21" s="76" t="n"/>
      <c r="I21" s="119" t="inlineStr">
        <is>
          <t>খাতভিত্তিক বিস্তারিত</t>
        </is>
      </c>
    </row>
    <row r="22" ht="15.75" customHeight="1" s="52">
      <c r="A22" s="108" t="n"/>
      <c r="B22" s="75" t="n"/>
      <c r="C22" s="75" t="n"/>
      <c r="D22" s="109">
        <f t="array" ref="D22:D22">IFERROR(INDEX(GroupLookup,MATCH(C22,CategoryList,0)),"")</f>
        <v/>
      </c>
      <c r="E22" s="110" t="n"/>
      <c r="F22" s="75" t="n"/>
      <c r="G22" s="75" t="n"/>
      <c r="I22" s="100" t="inlineStr">
        <is>
          <t>খাত</t>
        </is>
      </c>
      <c r="J22" s="100" t="inlineStr">
        <is>
          <t>মোট (৳)</t>
        </is>
      </c>
      <c r="K22" s="100" t="inlineStr">
        <is>
          <t>শতাংশ</t>
        </is>
      </c>
    </row>
    <row r="23" ht="15.75" customHeight="1" s="52">
      <c r="A23" s="114" t="n"/>
      <c r="B23" s="76" t="n"/>
      <c r="C23" s="76" t="n"/>
      <c r="D23" s="109">
        <f t="array" ref="D23:D23">IFERROR(INDEX(GroupLookup,MATCH(C23,CategoryList,0)),"")</f>
        <v/>
      </c>
      <c r="E23" s="112" t="n"/>
      <c r="F23" s="76" t="n"/>
      <c r="G23" s="76" t="n"/>
      <c r="I23" s="75" t="inlineStr">
        <is>
          <t>চাল</t>
        </is>
      </c>
      <c r="J23" s="110">
        <f>SUMIF($C$4:$C$203,$I23,$E$4:$E$203)</f>
        <v/>
      </c>
      <c r="K23" s="111">
        <f>IFERROR($J23/$J$12,0)</f>
        <v/>
      </c>
    </row>
    <row r="24" ht="15.75" customHeight="1" s="52">
      <c r="A24" s="108" t="n"/>
      <c r="B24" s="75" t="n"/>
      <c r="C24" s="75" t="n"/>
      <c r="D24" s="109">
        <f t="array" ref="D24:D24">IFERROR(INDEX(GroupLookup,MATCH(C24,CategoryList,0)),"")</f>
        <v/>
      </c>
      <c r="E24" s="110" t="n"/>
      <c r="F24" s="75" t="n"/>
      <c r="G24" s="75" t="n"/>
      <c r="I24" s="76" t="inlineStr">
        <is>
          <t>আটা ও ময়দা</t>
        </is>
      </c>
      <c r="J24" s="112">
        <f>SUMIF($C$4:$C$203,$I24,$E$4:$E$203)</f>
        <v/>
      </c>
      <c r="K24" s="113">
        <f>IFERROR($J24/$J$12,0)</f>
        <v/>
      </c>
    </row>
    <row r="25" ht="15.75" customHeight="1" s="52">
      <c r="A25" s="114" t="n"/>
      <c r="B25" s="76" t="n"/>
      <c r="C25" s="76" t="n"/>
      <c r="D25" s="109">
        <f t="array" ref="D25:D25">IFERROR(INDEX(GroupLookup,MATCH(C25,CategoryList,0)),"")</f>
        <v/>
      </c>
      <c r="E25" s="112" t="n"/>
      <c r="F25" s="76" t="n"/>
      <c r="G25" s="76" t="n"/>
      <c r="I25" s="75" t="inlineStr">
        <is>
          <t>ডাল</t>
        </is>
      </c>
      <c r="J25" s="110">
        <f>SUMIF($C$4:$C$203,$I25,$E$4:$E$203)</f>
        <v/>
      </c>
      <c r="K25" s="111">
        <f>IFERROR($J25/$J$12,0)</f>
        <v/>
      </c>
    </row>
    <row r="26" ht="15.75" customHeight="1" s="52">
      <c r="A26" s="108" t="n"/>
      <c r="B26" s="75" t="n"/>
      <c r="C26" s="75" t="n"/>
      <c r="D26" s="109">
        <f t="array" ref="D26:D26">IFERROR(INDEX(GroupLookup,MATCH(C26,CategoryList,0)),"")</f>
        <v/>
      </c>
      <c r="E26" s="110" t="n"/>
      <c r="F26" s="75" t="n"/>
      <c r="G26" s="75" t="n"/>
      <c r="I26" s="76" t="inlineStr">
        <is>
          <t>মাছ</t>
        </is>
      </c>
      <c r="J26" s="112">
        <f>SUMIF($C$4:$C$203,$I26,$E$4:$E$203)</f>
        <v/>
      </c>
      <c r="K26" s="113">
        <f>IFERROR($J26/$J$12,0)</f>
        <v/>
      </c>
    </row>
    <row r="27" ht="15.75" customHeight="1" s="52">
      <c r="A27" s="114" t="n"/>
      <c r="B27" s="76" t="n"/>
      <c r="C27" s="76" t="n"/>
      <c r="D27" s="109">
        <f t="array" ref="D27:D27">IFERROR(INDEX(GroupLookup,MATCH(C27,CategoryList,0)),"")</f>
        <v/>
      </c>
      <c r="E27" s="112" t="n"/>
      <c r="F27" s="76" t="n"/>
      <c r="G27" s="76" t="n"/>
      <c r="I27" s="75" t="inlineStr">
        <is>
          <t>মাংস</t>
        </is>
      </c>
      <c r="J27" s="110">
        <f>SUMIF($C$4:$C$203,$I27,$E$4:$E$203)</f>
        <v/>
      </c>
      <c r="K27" s="111">
        <f>IFERROR($J27/$J$12,0)</f>
        <v/>
      </c>
    </row>
    <row r="28" ht="15.75" customHeight="1" s="52">
      <c r="A28" s="108" t="n"/>
      <c r="B28" s="75" t="n"/>
      <c r="C28" s="75" t="n"/>
      <c r="D28" s="109">
        <f t="array" ref="D28:D28">IFERROR(INDEX(GroupLookup,MATCH(C28,CategoryList,0)),"")</f>
        <v/>
      </c>
      <c r="E28" s="110" t="n"/>
      <c r="F28" s="75" t="n"/>
      <c r="G28" s="75" t="n"/>
      <c r="I28" s="76" t="inlineStr">
        <is>
          <t>ডিম</t>
        </is>
      </c>
      <c r="J28" s="112">
        <f>SUMIF($C$4:$C$203,$I28,$E$4:$E$203)</f>
        <v/>
      </c>
      <c r="K28" s="113">
        <f>IFERROR($J28/$J$12,0)</f>
        <v/>
      </c>
    </row>
    <row r="29" ht="15.75" customHeight="1" s="52">
      <c r="A29" s="114" t="n"/>
      <c r="B29" s="76" t="n"/>
      <c r="C29" s="76" t="n"/>
      <c r="D29" s="109">
        <f t="array" ref="D29:D29">IFERROR(INDEX(GroupLookup,MATCH(C29,CategoryList,0)),"")</f>
        <v/>
      </c>
      <c r="E29" s="112" t="n"/>
      <c r="F29" s="76" t="n"/>
      <c r="G29" s="76" t="n"/>
      <c r="I29" s="75" t="inlineStr">
        <is>
          <t>দুধ ও দুগ্ধজাত পণ্য</t>
        </is>
      </c>
      <c r="J29" s="110">
        <f>SUMIF($C$4:$C$203,$I29,$E$4:$E$203)</f>
        <v/>
      </c>
      <c r="K29" s="111">
        <f>IFERROR($J29/$J$12,0)</f>
        <v/>
      </c>
    </row>
    <row r="30" ht="15.75" customHeight="1" s="52">
      <c r="A30" s="108" t="n"/>
      <c r="B30" s="75" t="n"/>
      <c r="C30" s="75" t="n"/>
      <c r="D30" s="109">
        <f t="array" ref="D30:D30">IFERROR(INDEX(GroupLookup,MATCH(C30,CategoryList,0)),"")</f>
        <v/>
      </c>
      <c r="E30" s="110" t="n"/>
      <c r="F30" s="75" t="n"/>
      <c r="G30" s="75" t="n"/>
      <c r="I30" s="76" t="inlineStr">
        <is>
          <t>ভোজ্য তেল</t>
        </is>
      </c>
      <c r="J30" s="112">
        <f>SUMIF($C$4:$C$203,$I30,$E$4:$E$203)</f>
        <v/>
      </c>
      <c r="K30" s="113">
        <f>IFERROR($J30/$J$12,0)</f>
        <v/>
      </c>
    </row>
    <row r="31" ht="15.75" customHeight="1" s="52">
      <c r="A31" s="114" t="n"/>
      <c r="B31" s="76" t="n"/>
      <c r="C31" s="76" t="n"/>
      <c r="D31" s="109">
        <f t="array" ref="D31:D31">IFERROR(INDEX(GroupLookup,MATCH(C31,CategoryList,0)),"")</f>
        <v/>
      </c>
      <c r="E31" s="112" t="n"/>
      <c r="F31" s="76" t="n"/>
      <c r="G31" s="76" t="n"/>
      <c r="I31" s="75" t="inlineStr">
        <is>
          <t>শাক-সবজি</t>
        </is>
      </c>
      <c r="J31" s="110">
        <f>SUMIF($C$4:$C$203,$I31,$E$4:$E$203)</f>
        <v/>
      </c>
      <c r="K31" s="111">
        <f>IFERROR($J31/$J$12,0)</f>
        <v/>
      </c>
    </row>
    <row r="32" ht="15.75" customHeight="1" s="52">
      <c r="A32" s="108" t="n"/>
      <c r="B32" s="75" t="n"/>
      <c r="C32" s="75" t="n"/>
      <c r="D32" s="109">
        <f t="array" ref="D32:D32">IFERROR(INDEX(GroupLookup,MATCH(C32,CategoryList,0)),"")</f>
        <v/>
      </c>
      <c r="E32" s="110" t="n"/>
      <c r="F32" s="75" t="n"/>
      <c r="G32" s="75" t="n"/>
      <c r="I32" s="76" t="inlineStr">
        <is>
          <t>ফলমূল</t>
        </is>
      </c>
      <c r="J32" s="112">
        <f>SUMIF($C$4:$C$203,$I32,$E$4:$E$203)</f>
        <v/>
      </c>
      <c r="K32" s="113">
        <f>IFERROR($J32/$J$12,0)</f>
        <v/>
      </c>
    </row>
    <row r="33" ht="15.75" customHeight="1" s="52">
      <c r="A33" s="114" t="n"/>
      <c r="B33" s="76" t="n"/>
      <c r="C33" s="76" t="n"/>
      <c r="D33" s="109">
        <f t="array" ref="D33:D33">IFERROR(INDEX(GroupLookup,MATCH(C33,CategoryList,0)),"")</f>
        <v/>
      </c>
      <c r="E33" s="112" t="n"/>
      <c r="F33" s="76" t="n"/>
      <c r="G33" s="76" t="n"/>
      <c r="I33" s="75" t="inlineStr">
        <is>
          <t>মসলা</t>
        </is>
      </c>
      <c r="J33" s="110">
        <f>SUMIF($C$4:$C$203,$I33,$E$4:$E$203)</f>
        <v/>
      </c>
      <c r="K33" s="111">
        <f>IFERROR($J33/$J$12,0)</f>
        <v/>
      </c>
    </row>
    <row r="34" ht="15.75" customHeight="1" s="52">
      <c r="A34" s="108" t="n"/>
      <c r="B34" s="75" t="n"/>
      <c r="C34" s="75" t="n"/>
      <c r="D34" s="109">
        <f t="array" ref="D34:D34">IFERROR(INDEX(GroupLookup,MATCH(C34,CategoryList,0)),"")</f>
        <v/>
      </c>
      <c r="E34" s="110" t="n"/>
      <c r="F34" s="75" t="n"/>
      <c r="G34" s="75" t="n"/>
      <c r="I34" s="76" t="inlineStr">
        <is>
          <t>চিনি ও লবণ</t>
        </is>
      </c>
      <c r="J34" s="112">
        <f>SUMIF($C$4:$C$203,$I34,$E$4:$E$203)</f>
        <v/>
      </c>
      <c r="K34" s="113">
        <f>IFERROR($J34/$J$12,0)</f>
        <v/>
      </c>
    </row>
    <row r="35" ht="15.75" customHeight="1" s="52">
      <c r="A35" s="114" t="n"/>
      <c r="B35" s="76" t="n"/>
      <c r="C35" s="76" t="n"/>
      <c r="D35" s="109">
        <f t="array" ref="D35:D35">IFERROR(INDEX(GroupLookup,MATCH(C35,CategoryList,0)),"")</f>
        <v/>
      </c>
      <c r="E35" s="112" t="n"/>
      <c r="F35" s="76" t="n"/>
      <c r="G35" s="76" t="n"/>
      <c r="I35" s="75" t="inlineStr">
        <is>
          <t>চা ও কফি</t>
        </is>
      </c>
      <c r="J35" s="110">
        <f>SUMIF($C$4:$C$203,$I35,$E$4:$E$203)</f>
        <v/>
      </c>
      <c r="K35" s="111">
        <f>IFERROR($J35/$J$12,0)</f>
        <v/>
      </c>
    </row>
    <row r="36" ht="15.75" customHeight="1" s="52">
      <c r="A36" s="108" t="n"/>
      <c r="B36" s="75" t="n"/>
      <c r="C36" s="75" t="n"/>
      <c r="D36" s="109">
        <f t="array" ref="D36:D36">IFERROR(INDEX(GroupLookup,MATCH(C36,CategoryList,0)),"")</f>
        <v/>
      </c>
      <c r="E36" s="110" t="n"/>
      <c r="F36" s="75" t="n"/>
      <c r="G36" s="75" t="n"/>
      <c r="I36" s="76" t="inlineStr">
        <is>
          <t>নাশতা ও বেকারি</t>
        </is>
      </c>
      <c r="J36" s="112">
        <f>SUMIF($C$4:$C$203,$I36,$E$4:$E$203)</f>
        <v/>
      </c>
      <c r="K36" s="113">
        <f>IFERROR($J36/$J$12,0)</f>
        <v/>
      </c>
    </row>
    <row r="37" ht="15.75" customHeight="1" s="52">
      <c r="A37" s="114" t="n"/>
      <c r="B37" s="76" t="n"/>
      <c r="C37" s="76" t="n"/>
      <c r="D37" s="109">
        <f t="array" ref="D37:D37">IFERROR(INDEX(GroupLookup,MATCH(C37,CategoryList,0)),"")</f>
        <v/>
      </c>
      <c r="E37" s="112" t="n"/>
      <c r="F37" s="76" t="n"/>
      <c r="G37" s="76" t="n"/>
      <c r="I37" s="75" t="inlineStr">
        <is>
          <t>বাইরে খাওয়া / রেস্তোরাঁ</t>
        </is>
      </c>
      <c r="J37" s="110">
        <f>SUMIF($C$4:$C$203,$I37,$E$4:$E$203)</f>
        <v/>
      </c>
      <c r="K37" s="111">
        <f>IFERROR($J37/$J$12,0)</f>
        <v/>
      </c>
    </row>
    <row r="38" ht="15.75" customHeight="1" s="52">
      <c r="A38" s="108" t="n"/>
      <c r="B38" s="75" t="n"/>
      <c r="C38" s="75" t="n"/>
      <c r="D38" s="109">
        <f t="array" ref="D38:D38">IFERROR(INDEX(GroupLookup,MATCH(C38,CategoryList,0)),"")</f>
        <v/>
      </c>
      <c r="E38" s="110" t="n"/>
      <c r="F38" s="75" t="n"/>
      <c r="G38" s="75" t="n"/>
      <c r="I38" s="76" t="inlineStr">
        <is>
          <t>বাড়ি ভাড়া</t>
        </is>
      </c>
      <c r="J38" s="112">
        <f>SUMIF($C$4:$C$203,$I38,$E$4:$E$203)</f>
        <v/>
      </c>
      <c r="K38" s="113">
        <f>IFERROR($J38/$J$12,0)</f>
        <v/>
      </c>
    </row>
    <row r="39" ht="15.75" customHeight="1" s="52">
      <c r="A39" s="114" t="n"/>
      <c r="B39" s="76" t="n"/>
      <c r="C39" s="76" t="n"/>
      <c r="D39" s="109">
        <f t="array" ref="D39:D39">IFERROR(INDEX(GroupLookup,MATCH(C39,CategoryList,0)),"")</f>
        <v/>
      </c>
      <c r="E39" s="112" t="n"/>
      <c r="F39" s="76" t="n"/>
      <c r="G39" s="76" t="n"/>
      <c r="I39" s="75" t="inlineStr">
        <is>
          <t>সার্ভিস চার্জ</t>
        </is>
      </c>
      <c r="J39" s="110">
        <f>SUMIF($C$4:$C$203,$I39,$E$4:$E$203)</f>
        <v/>
      </c>
      <c r="K39" s="111">
        <f>IFERROR($J39/$J$12,0)</f>
        <v/>
      </c>
    </row>
    <row r="40" ht="15.75" customHeight="1" s="52">
      <c r="A40" s="108" t="n"/>
      <c r="B40" s="75" t="n"/>
      <c r="C40" s="75" t="n"/>
      <c r="D40" s="109">
        <f t="array" ref="D40:D40">IFERROR(INDEX(GroupLookup,MATCH(C40,CategoryList,0)),"")</f>
        <v/>
      </c>
      <c r="E40" s="110" t="n"/>
      <c r="F40" s="75" t="n"/>
      <c r="G40" s="75" t="n"/>
      <c r="I40" s="76" t="inlineStr">
        <is>
          <t>বাড়ি মেরামত ও রক্ষণাবেক্ষণ</t>
        </is>
      </c>
      <c r="J40" s="112">
        <f>SUMIF($C$4:$C$203,$I40,$E$4:$E$203)</f>
        <v/>
      </c>
      <c r="K40" s="113">
        <f>IFERROR($J40/$J$12,0)</f>
        <v/>
      </c>
    </row>
    <row r="41" ht="15.75" customHeight="1" s="52">
      <c r="A41" s="114" t="n"/>
      <c r="B41" s="76" t="n"/>
      <c r="C41" s="76" t="n"/>
      <c r="D41" s="109">
        <f t="array" ref="D41:D41">IFERROR(INDEX(GroupLookup,MATCH(C41,CategoryList,0)),"")</f>
        <v/>
      </c>
      <c r="E41" s="112" t="n"/>
      <c r="F41" s="76" t="n"/>
      <c r="G41" s="76" t="n"/>
      <c r="I41" s="75" t="inlineStr">
        <is>
          <t>গৃহকর্মীর বেতন</t>
        </is>
      </c>
      <c r="J41" s="110">
        <f>SUMIF($C$4:$C$203,$I41,$E$4:$E$203)</f>
        <v/>
      </c>
      <c r="K41" s="111">
        <f>IFERROR($J41/$J$12,0)</f>
        <v/>
      </c>
    </row>
    <row r="42" ht="15.75" customHeight="1" s="52">
      <c r="A42" s="108" t="n"/>
      <c r="B42" s="75" t="n"/>
      <c r="C42" s="75" t="n"/>
      <c r="D42" s="109">
        <f t="array" ref="D42:D42">IFERROR(INDEX(GroupLookup,MATCH(C42,CategoryList,0)),"")</f>
        <v/>
      </c>
      <c r="E42" s="110" t="n"/>
      <c r="F42" s="75" t="n"/>
      <c r="G42" s="75" t="n"/>
      <c r="I42" s="76" t="inlineStr">
        <is>
          <t>আসবাবপত্র</t>
        </is>
      </c>
      <c r="J42" s="112">
        <f>SUMIF($C$4:$C$203,$I42,$E$4:$E$203)</f>
        <v/>
      </c>
      <c r="K42" s="113">
        <f>IFERROR($J42/$J$12,0)</f>
        <v/>
      </c>
    </row>
    <row r="43" ht="15.75" customHeight="1" s="52">
      <c r="A43" s="114" t="n"/>
      <c r="B43" s="76" t="n"/>
      <c r="C43" s="76" t="n"/>
      <c r="D43" s="109">
        <f t="array" ref="D43:D43">IFERROR(INDEX(GroupLookup,MATCH(C43,CategoryList,0)),"")</f>
        <v/>
      </c>
      <c r="E43" s="112" t="n"/>
      <c r="F43" s="76" t="n"/>
      <c r="G43" s="76" t="n"/>
      <c r="I43" s="75" t="inlineStr">
        <is>
          <t>বিদ্যুৎ বিল</t>
        </is>
      </c>
      <c r="J43" s="110">
        <f>SUMIF($C$4:$C$203,$I43,$E$4:$E$203)</f>
        <v/>
      </c>
      <c r="K43" s="111">
        <f>IFERROR($J43/$J$12,0)</f>
        <v/>
      </c>
    </row>
    <row r="44" ht="15.75" customHeight="1" s="52">
      <c r="A44" s="108" t="n"/>
      <c r="B44" s="75" t="n"/>
      <c r="C44" s="75" t="n"/>
      <c r="D44" s="109">
        <f t="array" ref="D44:D44">IFERROR(INDEX(GroupLookup,MATCH(C44,CategoryList,0)),"")</f>
        <v/>
      </c>
      <c r="E44" s="110" t="n"/>
      <c r="F44" s="75" t="n"/>
      <c r="G44" s="75" t="n"/>
      <c r="I44" s="76" t="inlineStr">
        <is>
          <t>গ্যাস বিল</t>
        </is>
      </c>
      <c r="J44" s="112">
        <f>SUMIF($C$4:$C$203,$I44,$E$4:$E$203)</f>
        <v/>
      </c>
      <c r="K44" s="113">
        <f>IFERROR($J44/$J$12,0)</f>
        <v/>
      </c>
    </row>
    <row r="45" ht="15.75" customHeight="1" s="52">
      <c r="A45" s="114" t="n"/>
      <c r="B45" s="76" t="n"/>
      <c r="C45" s="76" t="n"/>
      <c r="D45" s="109">
        <f t="array" ref="D45:D45">IFERROR(INDEX(GroupLookup,MATCH(C45,CategoryList,0)),"")</f>
        <v/>
      </c>
      <c r="E45" s="112" t="n"/>
      <c r="F45" s="76" t="n"/>
      <c r="G45" s="76" t="n"/>
      <c r="I45" s="75" t="inlineStr">
        <is>
          <t>পানির বিল</t>
        </is>
      </c>
      <c r="J45" s="110">
        <f>SUMIF($C$4:$C$203,$I45,$E$4:$E$203)</f>
        <v/>
      </c>
      <c r="K45" s="111">
        <f>IFERROR($J45/$J$12,0)</f>
        <v/>
      </c>
    </row>
    <row r="46" ht="15.75" customHeight="1" s="52">
      <c r="A46" s="108" t="n"/>
      <c r="B46" s="75" t="n"/>
      <c r="C46" s="75" t="n"/>
      <c r="D46" s="109">
        <f t="array" ref="D46:D46">IFERROR(INDEX(GroupLookup,MATCH(C46,CategoryList,0)),"")</f>
        <v/>
      </c>
      <c r="E46" s="110" t="n"/>
      <c r="F46" s="75" t="n"/>
      <c r="G46" s="75" t="n"/>
      <c r="I46" s="76" t="inlineStr">
        <is>
          <t>ইন্টারনেট বিল</t>
        </is>
      </c>
      <c r="J46" s="112">
        <f>SUMIF($C$4:$C$203,$I46,$E$4:$E$203)</f>
        <v/>
      </c>
      <c r="K46" s="113">
        <f>IFERROR($J46/$J$12,0)</f>
        <v/>
      </c>
    </row>
    <row r="47" ht="15.75" customHeight="1" s="52">
      <c r="A47" s="114" t="n"/>
      <c r="B47" s="76" t="n"/>
      <c r="C47" s="76" t="n"/>
      <c r="D47" s="109">
        <f t="array" ref="D47:D47">IFERROR(INDEX(GroupLookup,MATCH(C47,CategoryList,0)),"")</f>
        <v/>
      </c>
      <c r="E47" s="112" t="n"/>
      <c r="F47" s="76" t="n"/>
      <c r="G47" s="76" t="n"/>
      <c r="I47" s="75" t="inlineStr">
        <is>
          <t>মোবাইল রিচার্জ</t>
        </is>
      </c>
      <c r="J47" s="110">
        <f>SUMIF($C$4:$C$203,$I47,$E$4:$E$203)</f>
        <v/>
      </c>
      <c r="K47" s="111">
        <f>IFERROR($J47/$J$12,0)</f>
        <v/>
      </c>
    </row>
    <row r="48" ht="15.75" customHeight="1" s="52">
      <c r="A48" s="108" t="n"/>
      <c r="B48" s="75" t="n"/>
      <c r="C48" s="75" t="n"/>
      <c r="D48" s="109">
        <f t="array" ref="D48:D48">IFERROR(INDEX(GroupLookup,MATCH(C48,CategoryList,0)),"")</f>
        <v/>
      </c>
      <c r="E48" s="110" t="n"/>
      <c r="F48" s="75" t="n"/>
      <c r="G48" s="75" t="n"/>
      <c r="I48" s="76" t="inlineStr">
        <is>
          <t>ডিশ / ক্যাবল বিল</t>
        </is>
      </c>
      <c r="J48" s="112">
        <f>SUMIF($C$4:$C$203,$I48,$E$4:$E$203)</f>
        <v/>
      </c>
      <c r="K48" s="113">
        <f>IFERROR($J48/$J$12,0)</f>
        <v/>
      </c>
    </row>
    <row r="49" ht="15.75" customHeight="1" s="52">
      <c r="A49" s="114" t="n"/>
      <c r="B49" s="76" t="n"/>
      <c r="C49" s="76" t="n"/>
      <c r="D49" s="109">
        <f t="array" ref="D49:D49">IFERROR(INDEX(GroupLookup,MATCH(C49,CategoryList,0)),"")</f>
        <v/>
      </c>
      <c r="E49" s="112" t="n"/>
      <c r="F49" s="76" t="n"/>
      <c r="G49" s="76" t="n"/>
      <c r="I49" s="75" t="inlineStr">
        <is>
          <t>পৌর কর ও হোল্ডিং ট্যাক্স</t>
        </is>
      </c>
      <c r="J49" s="110">
        <f>SUMIF($C$4:$C$203,$I49,$E$4:$E$203)</f>
        <v/>
      </c>
      <c r="K49" s="111">
        <f>IFERROR($J49/$J$12,0)</f>
        <v/>
      </c>
    </row>
    <row r="50" ht="15.75" customHeight="1" s="52">
      <c r="A50" s="108" t="n"/>
      <c r="B50" s="75" t="n"/>
      <c r="C50" s="75" t="n"/>
      <c r="D50" s="109">
        <f t="array" ref="D50:D50">IFERROR(INDEX(GroupLookup,MATCH(C50,CategoryList,0)),"")</f>
        <v/>
      </c>
      <c r="E50" s="110" t="n"/>
      <c r="F50" s="75" t="n"/>
      <c r="G50" s="75" t="n"/>
      <c r="I50" s="76" t="inlineStr">
        <is>
          <t>ময়লা ও পরিচ্ছন্নতা বিল</t>
        </is>
      </c>
      <c r="J50" s="112">
        <f>SUMIF($C$4:$C$203,$I50,$E$4:$E$203)</f>
        <v/>
      </c>
      <c r="K50" s="113">
        <f>IFERROR($J50/$J$12,0)</f>
        <v/>
      </c>
    </row>
    <row r="51" ht="15.75" customHeight="1" s="52">
      <c r="A51" s="114" t="n"/>
      <c r="B51" s="76" t="n"/>
      <c r="C51" s="76" t="n"/>
      <c r="D51" s="109">
        <f t="array" ref="D51:D51">IFERROR(INDEX(GroupLookup,MATCH(C51,CategoryList,0)),"")</f>
        <v/>
      </c>
      <c r="E51" s="112" t="n"/>
      <c r="F51" s="76" t="n"/>
      <c r="G51" s="76" t="n"/>
      <c r="I51" s="75" t="inlineStr">
        <is>
          <t>রিকশা / সিএনজি</t>
        </is>
      </c>
      <c r="J51" s="110">
        <f>SUMIF($C$4:$C$203,$I51,$E$4:$E$203)</f>
        <v/>
      </c>
      <c r="K51" s="111">
        <f>IFERROR($J51/$J$12,0)</f>
        <v/>
      </c>
    </row>
    <row r="52" ht="15.75" customHeight="1" s="52">
      <c r="A52" s="108" t="n"/>
      <c r="B52" s="75" t="n"/>
      <c r="C52" s="75" t="n"/>
      <c r="D52" s="109">
        <f t="array" ref="D52:D52">IFERROR(INDEX(GroupLookup,MATCH(C52,CategoryList,0)),"")</f>
        <v/>
      </c>
      <c r="E52" s="110" t="n"/>
      <c r="F52" s="75" t="n"/>
      <c r="G52" s="75" t="n"/>
      <c r="I52" s="76" t="inlineStr">
        <is>
          <t>বাস / ট্রেন / লঞ্চ ভাড়া</t>
        </is>
      </c>
      <c r="J52" s="112">
        <f>SUMIF($C$4:$C$203,$I52,$E$4:$E$203)</f>
        <v/>
      </c>
      <c r="K52" s="113">
        <f>IFERROR($J52/$J$12,0)</f>
        <v/>
      </c>
    </row>
    <row r="53" ht="15.75" customHeight="1" s="52">
      <c r="A53" s="114" t="n"/>
      <c r="B53" s="76" t="n"/>
      <c r="C53" s="76" t="n"/>
      <c r="D53" s="109">
        <f t="array" ref="D53:D53">IFERROR(INDEX(GroupLookup,MATCH(C53,CategoryList,0)),"")</f>
        <v/>
      </c>
      <c r="E53" s="112" t="n"/>
      <c r="F53" s="76" t="n"/>
      <c r="G53" s="76" t="n"/>
      <c r="I53" s="75" t="inlineStr">
        <is>
          <t>রাইড শেয়ারিং</t>
        </is>
      </c>
      <c r="J53" s="110">
        <f>SUMIF($C$4:$C$203,$I53,$E$4:$E$203)</f>
        <v/>
      </c>
      <c r="K53" s="111">
        <f>IFERROR($J53/$J$12,0)</f>
        <v/>
      </c>
    </row>
    <row r="54" ht="15.75" customHeight="1" s="52">
      <c r="A54" s="108" t="n"/>
      <c r="B54" s="75" t="n"/>
      <c r="C54" s="75" t="n"/>
      <c r="D54" s="109">
        <f t="array" ref="D54:D54">IFERROR(INDEX(GroupLookup,MATCH(C54,CategoryList,0)),"")</f>
        <v/>
      </c>
      <c r="E54" s="110" t="n"/>
      <c r="F54" s="75" t="n"/>
      <c r="G54" s="75" t="n"/>
      <c r="I54" s="76" t="inlineStr">
        <is>
          <t>জ্বালানি (পেট্রোল / ডিজেল)</t>
        </is>
      </c>
      <c r="J54" s="112">
        <f>SUMIF($C$4:$C$203,$I54,$E$4:$E$203)</f>
        <v/>
      </c>
      <c r="K54" s="113">
        <f>IFERROR($J54/$J$12,0)</f>
        <v/>
      </c>
    </row>
    <row r="55" ht="15.75" customHeight="1" s="52">
      <c r="A55" s="114" t="n"/>
      <c r="B55" s="76" t="n"/>
      <c r="C55" s="76" t="n"/>
      <c r="D55" s="109">
        <f t="array" ref="D55:D55">IFERROR(INDEX(GroupLookup,MATCH(C55,CategoryList,0)),"")</f>
        <v/>
      </c>
      <c r="E55" s="112" t="n"/>
      <c r="F55" s="76" t="n"/>
      <c r="G55" s="76" t="n"/>
      <c r="I55" s="75" t="inlineStr">
        <is>
          <t>গাড়ি / বাইক রক্ষণাবেক্ষণ</t>
        </is>
      </c>
      <c r="J55" s="110">
        <f>SUMIF($C$4:$C$203,$I55,$E$4:$E$203)</f>
        <v/>
      </c>
      <c r="K55" s="111">
        <f>IFERROR($J55/$J$12,0)</f>
        <v/>
      </c>
    </row>
    <row r="56" ht="15.75" customHeight="1" s="52">
      <c r="A56" s="108" t="n"/>
      <c r="B56" s="75" t="n"/>
      <c r="C56" s="75" t="n"/>
      <c r="D56" s="109">
        <f t="array" ref="D56:D56">IFERROR(INDEX(GroupLookup,MATCH(C56,CategoryList,0)),"")</f>
        <v/>
      </c>
      <c r="E56" s="110" t="n"/>
      <c r="F56" s="75" t="n"/>
      <c r="G56" s="75" t="n"/>
      <c r="I56" s="76" t="inlineStr">
        <is>
          <t>পার্কিং ও টোল</t>
        </is>
      </c>
      <c r="J56" s="112">
        <f>SUMIF($C$4:$C$203,$I56,$E$4:$E$203)</f>
        <v/>
      </c>
      <c r="K56" s="113">
        <f>IFERROR($J56/$J$12,0)</f>
        <v/>
      </c>
    </row>
    <row r="57" ht="15.75" customHeight="1" s="52">
      <c r="A57" s="114" t="n"/>
      <c r="B57" s="76" t="n"/>
      <c r="C57" s="76" t="n"/>
      <c r="D57" s="109">
        <f t="array" ref="D57:D57">IFERROR(INDEX(GroupLookup,MATCH(C57,CategoryList,0)),"")</f>
        <v/>
      </c>
      <c r="E57" s="112" t="n"/>
      <c r="F57" s="76" t="n"/>
      <c r="G57" s="76" t="n"/>
      <c r="I57" s="75" t="inlineStr">
        <is>
          <t>ওষুধ</t>
        </is>
      </c>
      <c r="J57" s="110">
        <f>SUMIF($C$4:$C$203,$I57,$E$4:$E$203)</f>
        <v/>
      </c>
      <c r="K57" s="111">
        <f>IFERROR($J57/$J$12,0)</f>
        <v/>
      </c>
    </row>
    <row r="58" ht="15.75" customHeight="1" s="52">
      <c r="A58" s="108" t="n"/>
      <c r="B58" s="75" t="n"/>
      <c r="C58" s="75" t="n"/>
      <c r="D58" s="109">
        <f t="array" ref="D58:D58">IFERROR(INDEX(GroupLookup,MATCH(C58,CategoryList,0)),"")</f>
        <v/>
      </c>
      <c r="E58" s="110" t="n"/>
      <c r="F58" s="75" t="n"/>
      <c r="G58" s="75" t="n"/>
      <c r="I58" s="76" t="inlineStr">
        <is>
          <t>ডাক্তারের ফি</t>
        </is>
      </c>
      <c r="J58" s="112">
        <f>SUMIF($C$4:$C$203,$I58,$E$4:$E$203)</f>
        <v/>
      </c>
      <c r="K58" s="113">
        <f>IFERROR($J58/$J$12,0)</f>
        <v/>
      </c>
    </row>
    <row r="59" ht="15.75" customHeight="1" s="52">
      <c r="A59" s="114" t="n"/>
      <c r="B59" s="76" t="n"/>
      <c r="C59" s="76" t="n"/>
      <c r="D59" s="109">
        <f t="array" ref="D59:D59">IFERROR(INDEX(GroupLookup,MATCH(C59,CategoryList,0)),"")</f>
        <v/>
      </c>
      <c r="E59" s="112" t="n"/>
      <c r="F59" s="76" t="n"/>
      <c r="G59" s="76" t="n"/>
      <c r="I59" s="75" t="inlineStr">
        <is>
          <t>চিকিৎসা পরীক্ষা</t>
        </is>
      </c>
      <c r="J59" s="110">
        <f>SUMIF($C$4:$C$203,$I59,$E$4:$E$203)</f>
        <v/>
      </c>
      <c r="K59" s="111">
        <f>IFERROR($J59/$J$12,0)</f>
        <v/>
      </c>
    </row>
    <row r="60" ht="15.75" customHeight="1" s="52">
      <c r="A60" s="108" t="n"/>
      <c r="B60" s="75" t="n"/>
      <c r="C60" s="75" t="n"/>
      <c r="D60" s="109">
        <f t="array" ref="D60:D60">IFERROR(INDEX(GroupLookup,MATCH(C60,CategoryList,0)),"")</f>
        <v/>
      </c>
      <c r="E60" s="110" t="n"/>
      <c r="F60" s="75" t="n"/>
      <c r="G60" s="75" t="n"/>
      <c r="I60" s="76" t="inlineStr">
        <is>
          <t>স্বাস্থ্য বীমা</t>
        </is>
      </c>
      <c r="J60" s="112">
        <f>SUMIF($C$4:$C$203,$I60,$E$4:$E$203)</f>
        <v/>
      </c>
      <c r="K60" s="113">
        <f>IFERROR($J60/$J$12,0)</f>
        <v/>
      </c>
    </row>
    <row r="61" ht="15.75" customHeight="1" s="52">
      <c r="A61" s="114" t="n"/>
      <c r="B61" s="76" t="n"/>
      <c r="C61" s="76" t="n"/>
      <c r="D61" s="109">
        <f t="array" ref="D61:D61">IFERROR(INDEX(GroupLookup,MATCH(C61,CategoryList,0)),"")</f>
        <v/>
      </c>
      <c r="E61" s="112" t="n"/>
      <c r="F61" s="76" t="n"/>
      <c r="G61" s="76" t="n"/>
      <c r="I61" s="75" t="inlineStr">
        <is>
          <t>স্কুল / কলেজ ফি</t>
        </is>
      </c>
      <c r="J61" s="110">
        <f>SUMIF($C$4:$C$203,$I61,$E$4:$E$203)</f>
        <v/>
      </c>
      <c r="K61" s="111">
        <f>IFERROR($J61/$J$12,0)</f>
        <v/>
      </c>
    </row>
    <row r="62" ht="15.75" customHeight="1" s="52">
      <c r="A62" s="108" t="n"/>
      <c r="B62" s="75" t="n"/>
      <c r="C62" s="75" t="n"/>
      <c r="D62" s="109">
        <f t="array" ref="D62:D62">IFERROR(INDEX(GroupLookup,MATCH(C62,CategoryList,0)),"")</f>
        <v/>
      </c>
      <c r="E62" s="110" t="n"/>
      <c r="F62" s="75" t="n"/>
      <c r="G62" s="75" t="n"/>
      <c r="I62" s="76" t="inlineStr">
        <is>
          <t>প্রাইভেট / কোচিং</t>
        </is>
      </c>
      <c r="J62" s="112">
        <f>SUMIF($C$4:$C$203,$I62,$E$4:$E$203)</f>
        <v/>
      </c>
      <c r="K62" s="113">
        <f>IFERROR($J62/$J$12,0)</f>
        <v/>
      </c>
    </row>
    <row r="63" ht="15.75" customHeight="1" s="52">
      <c r="A63" s="114" t="n"/>
      <c r="B63" s="76" t="n"/>
      <c r="C63" s="76" t="n"/>
      <c r="D63" s="109">
        <f t="array" ref="D63:D63">IFERROR(INDEX(GroupLookup,MATCH(C63,CategoryList,0)),"")</f>
        <v/>
      </c>
      <c r="E63" s="112" t="n"/>
      <c r="F63" s="76" t="n"/>
      <c r="G63" s="76" t="n"/>
      <c r="I63" s="75" t="inlineStr">
        <is>
          <t>বই ও শিক্ষা উপকরণ</t>
        </is>
      </c>
      <c r="J63" s="110">
        <f>SUMIF($C$4:$C$203,$I63,$E$4:$E$203)</f>
        <v/>
      </c>
      <c r="K63" s="111">
        <f>IFERROR($J63/$J$12,0)</f>
        <v/>
      </c>
    </row>
    <row r="64" ht="15.75" customHeight="1" s="52">
      <c r="A64" s="108" t="n"/>
      <c r="B64" s="75" t="n"/>
      <c r="C64" s="75" t="n"/>
      <c r="D64" s="109">
        <f t="array" ref="D64:D64">IFERROR(INDEX(GroupLookup,MATCH(C64,CategoryList,0)),"")</f>
        <v/>
      </c>
      <c r="E64" s="110" t="n"/>
      <c r="F64" s="75" t="n"/>
      <c r="G64" s="75" t="n"/>
      <c r="I64" s="76" t="inlineStr">
        <is>
          <t>পরীক্ষার ফি</t>
        </is>
      </c>
      <c r="J64" s="112">
        <f>SUMIF($C$4:$C$203,$I64,$E$4:$E$203)</f>
        <v/>
      </c>
      <c r="K64" s="113">
        <f>IFERROR($J64/$J$12,0)</f>
        <v/>
      </c>
    </row>
    <row r="65" ht="15.75" customHeight="1" s="52">
      <c r="A65" s="114" t="n"/>
      <c r="B65" s="76" t="n"/>
      <c r="C65" s="76" t="n"/>
      <c r="D65" s="109">
        <f t="array" ref="D65:D65">IFERROR(INDEX(GroupLookup,MATCH(C65,CategoryList,0)),"")</f>
        <v/>
      </c>
      <c r="E65" s="112" t="n"/>
      <c r="F65" s="76" t="n"/>
      <c r="G65" s="76" t="n"/>
      <c r="I65" s="75" t="inlineStr">
        <is>
          <t>পোশাক ও জুতা</t>
        </is>
      </c>
      <c r="J65" s="110">
        <f>SUMIF($C$4:$C$203,$I65,$E$4:$E$203)</f>
        <v/>
      </c>
      <c r="K65" s="111">
        <f>IFERROR($J65/$J$12,0)</f>
        <v/>
      </c>
    </row>
    <row r="66" ht="15.75" customHeight="1" s="52">
      <c r="A66" s="108" t="n"/>
      <c r="B66" s="75" t="n"/>
      <c r="C66" s="75" t="n"/>
      <c r="D66" s="109">
        <f t="array" ref="D66:D66">IFERROR(INDEX(GroupLookup,MATCH(C66,CategoryList,0)),"")</f>
        <v/>
      </c>
      <c r="E66" s="110" t="n"/>
      <c r="F66" s="75" t="n"/>
      <c r="G66" s="75" t="n"/>
      <c r="I66" s="76" t="inlineStr">
        <is>
          <t>প্রসাধনী ও পরিচর্যা</t>
        </is>
      </c>
      <c r="J66" s="112">
        <f>SUMIF($C$4:$C$203,$I66,$E$4:$E$203)</f>
        <v/>
      </c>
      <c r="K66" s="113">
        <f>IFERROR($J66/$J$12,0)</f>
        <v/>
      </c>
    </row>
    <row r="67" ht="15.75" customHeight="1" s="52">
      <c r="A67" s="114" t="n"/>
      <c r="B67" s="76" t="n"/>
      <c r="C67" s="76" t="n"/>
      <c r="D67" s="109">
        <f t="array" ref="D67:D67">IFERROR(INDEX(GroupLookup,MATCH(C67,CategoryList,0)),"")</f>
        <v/>
      </c>
      <c r="E67" s="112" t="n"/>
      <c r="F67" s="76" t="n"/>
      <c r="G67" s="76" t="n"/>
      <c r="I67" s="75" t="inlineStr">
        <is>
          <t>সাবান ও ডিটারজেন্ট</t>
        </is>
      </c>
      <c r="J67" s="110">
        <f>SUMIF($C$4:$C$203,$I67,$E$4:$E$203)</f>
        <v/>
      </c>
      <c r="K67" s="111">
        <f>IFERROR($J67/$J$12,0)</f>
        <v/>
      </c>
    </row>
    <row r="68" ht="15.75" customHeight="1" s="52">
      <c r="A68" s="108" t="n"/>
      <c r="B68" s="75" t="n"/>
      <c r="C68" s="75" t="n"/>
      <c r="D68" s="109">
        <f t="array" ref="D68:D68">IFERROR(INDEX(GroupLookup,MATCH(C68,CategoryList,0)),"")</f>
        <v/>
      </c>
      <c r="E68" s="110" t="n"/>
      <c r="F68" s="75" t="n"/>
      <c r="G68" s="75" t="n"/>
      <c r="I68" s="76" t="inlineStr">
        <is>
          <t>গৃহস্থালি সামগ্রী</t>
        </is>
      </c>
      <c r="J68" s="112">
        <f>SUMIF($C$4:$C$203,$I68,$E$4:$E$203)</f>
        <v/>
      </c>
      <c r="K68" s="113">
        <f>IFERROR($J68/$J$12,0)</f>
        <v/>
      </c>
    </row>
    <row r="69" ht="15.75" customHeight="1" s="52">
      <c r="A69" s="114" t="n"/>
      <c r="B69" s="76" t="n"/>
      <c r="C69" s="76" t="n"/>
      <c r="D69" s="109">
        <f t="array" ref="D69:D69">IFERROR(INDEX(GroupLookup,MATCH(C69,CategoryList,0)),"")</f>
        <v/>
      </c>
      <c r="E69" s="112" t="n"/>
      <c r="F69" s="76" t="n"/>
      <c r="G69" s="76" t="n"/>
      <c r="I69" s="75" t="inlineStr">
        <is>
          <t>সেলুন / পার্লার</t>
        </is>
      </c>
      <c r="J69" s="110">
        <f>SUMIF($C$4:$C$203,$I69,$E$4:$E$203)</f>
        <v/>
      </c>
      <c r="K69" s="111">
        <f>IFERROR($J69/$J$12,0)</f>
        <v/>
      </c>
    </row>
    <row r="70" ht="15.75" customHeight="1" s="52">
      <c r="A70" s="108" t="n"/>
      <c r="B70" s="75" t="n"/>
      <c r="C70" s="75" t="n"/>
      <c r="D70" s="109">
        <f t="array" ref="D70:D70">IFERROR(INDEX(GroupLookup,MATCH(C70,CategoryList,0)),"")</f>
        <v/>
      </c>
      <c r="E70" s="110" t="n"/>
      <c r="F70" s="75" t="n"/>
      <c r="G70" s="75" t="n"/>
      <c r="I70" s="76" t="inlineStr">
        <is>
          <t>বিনোদন ও ঘোরাঘুরি</t>
        </is>
      </c>
      <c r="J70" s="112">
        <f>SUMIF($C$4:$C$203,$I70,$E$4:$E$203)</f>
        <v/>
      </c>
      <c r="K70" s="113">
        <f>IFERROR($J70/$J$12,0)</f>
        <v/>
      </c>
    </row>
    <row r="71" ht="15.75" customHeight="1" s="52">
      <c r="A71" s="114" t="n"/>
      <c r="B71" s="76" t="n"/>
      <c r="C71" s="76" t="n"/>
      <c r="D71" s="109">
        <f t="array" ref="D71:D71">IFERROR(INDEX(GroupLookup,MATCH(C71,CategoryList,0)),"")</f>
        <v/>
      </c>
      <c r="E71" s="112" t="n"/>
      <c r="F71" s="76" t="n"/>
      <c r="G71" s="76" t="n"/>
      <c r="I71" s="75" t="inlineStr">
        <is>
          <t>উপহার ও অনুষ্ঠান</t>
        </is>
      </c>
      <c r="J71" s="110">
        <f>SUMIF($C$4:$C$203,$I71,$E$4:$E$203)</f>
        <v/>
      </c>
      <c r="K71" s="111">
        <f>IFERROR($J71/$J$12,0)</f>
        <v/>
      </c>
    </row>
    <row r="72" ht="15.75" customHeight="1" s="52">
      <c r="A72" s="108" t="n"/>
      <c r="B72" s="75" t="n"/>
      <c r="C72" s="75" t="n"/>
      <c r="D72" s="109">
        <f t="array" ref="D72:D72">IFERROR(INDEX(GroupLookup,MATCH(C72,CategoryList,0)),"")</f>
        <v/>
      </c>
      <c r="E72" s="110" t="n"/>
      <c r="F72" s="75" t="n"/>
      <c r="G72" s="75" t="n"/>
      <c r="I72" s="76" t="inlineStr">
        <is>
          <t>দান ও যাকাত</t>
        </is>
      </c>
      <c r="J72" s="112">
        <f>SUMIF($C$4:$C$203,$I72,$E$4:$E$203)</f>
        <v/>
      </c>
      <c r="K72" s="113">
        <f>IFERROR($J72/$J$12,0)</f>
        <v/>
      </c>
    </row>
    <row r="73" ht="15.75" customHeight="1" s="52">
      <c r="A73" s="114" t="n"/>
      <c r="B73" s="76" t="n"/>
      <c r="C73" s="76" t="n"/>
      <c r="D73" s="109">
        <f t="array" ref="D73:D73">IFERROR(INDEX(GroupLookup,MATCH(C73,CategoryList,0)),"")</f>
        <v/>
      </c>
      <c r="E73" s="112" t="n"/>
      <c r="F73" s="76" t="n"/>
      <c r="G73" s="76" t="n"/>
      <c r="I73" s="75" t="inlineStr">
        <is>
          <t>সঞ্চয় ও বিনিয়োগ</t>
        </is>
      </c>
      <c r="J73" s="110">
        <f>SUMIF($C$4:$C$203,$I73,$E$4:$E$203)</f>
        <v/>
      </c>
      <c r="K73" s="111">
        <f>IFERROR($J73/$J$12,0)</f>
        <v/>
      </c>
    </row>
    <row r="74" ht="15.75" customHeight="1" s="52">
      <c r="A74" s="108" t="n"/>
      <c r="B74" s="75" t="n"/>
      <c r="C74" s="75" t="n"/>
      <c r="D74" s="109">
        <f t="array" ref="D74:D74">IFERROR(INDEX(GroupLookup,MATCH(C74,CategoryList,0)),"")</f>
        <v/>
      </c>
      <c r="E74" s="110" t="n"/>
      <c r="F74" s="75" t="n"/>
      <c r="G74" s="75" t="n"/>
      <c r="I74" s="76" t="inlineStr">
        <is>
          <t>ঋণ পরিশোধ / কিস্তি</t>
        </is>
      </c>
      <c r="J74" s="112">
        <f>SUMIF($C$4:$C$203,$I74,$E$4:$E$203)</f>
        <v/>
      </c>
      <c r="K74" s="113">
        <f>IFERROR($J74/$J$12,0)</f>
        <v/>
      </c>
    </row>
    <row r="75" ht="15.75" customHeight="1" s="52">
      <c r="A75" s="114" t="n"/>
      <c r="B75" s="76" t="n"/>
      <c r="C75" s="76" t="n"/>
      <c r="D75" s="109">
        <f t="array" ref="D75:D75">IFERROR(INDEX(GroupLookup,MATCH(C75,CategoryList,0)),"")</f>
        <v/>
      </c>
      <c r="E75" s="112" t="n"/>
      <c r="F75" s="76" t="n"/>
      <c r="G75" s="76" t="n"/>
      <c r="I75" s="75" t="inlineStr">
        <is>
          <t>বীমা প্রিমিয়াম</t>
        </is>
      </c>
      <c r="J75" s="110">
        <f>SUMIF($C$4:$C$203,$I75,$E$4:$E$203)</f>
        <v/>
      </c>
      <c r="K75" s="111">
        <f>IFERROR($J75/$J$12,0)</f>
        <v/>
      </c>
    </row>
    <row r="76" ht="15.75" customHeight="1" s="52">
      <c r="A76" s="108" t="n"/>
      <c r="B76" s="75" t="n"/>
      <c r="C76" s="75" t="n"/>
      <c r="D76" s="109">
        <f t="array" ref="D76:D76">IFERROR(INDEX(GroupLookup,MATCH(C76,CategoryList,0)),"")</f>
        <v/>
      </c>
      <c r="E76" s="110" t="n"/>
      <c r="F76" s="75" t="n"/>
      <c r="G76" s="75" t="n"/>
      <c r="I76" s="76" t="inlineStr">
        <is>
          <t>অন্যান্য খরচ</t>
        </is>
      </c>
      <c r="J76" s="112">
        <f>SUMIF($C$4:$C$203,$I76,$E$4:$E$203)</f>
        <v/>
      </c>
      <c r="K76" s="113">
        <f>IFERROR($J76/$J$12,0)</f>
        <v/>
      </c>
    </row>
    <row r="77" ht="15.75" customHeight="1" s="52">
      <c r="A77" s="114" t="n"/>
      <c r="B77" s="76" t="n"/>
      <c r="C77" s="76" t="n"/>
      <c r="D77" s="109">
        <f t="array" ref="D77:D77">IFERROR(INDEX(GroupLookup,MATCH(C77,CategoryList,0)),"")</f>
        <v/>
      </c>
      <c r="E77" s="112" t="n"/>
      <c r="F77" s="76" t="n"/>
      <c r="G77" s="76" t="n"/>
      <c r="I77" s="72" t="inlineStr">
        <is>
          <t>সর্বমোট</t>
        </is>
      </c>
      <c r="J77" s="117">
        <f>SUM($J$23:$J$76)</f>
        <v/>
      </c>
      <c r="K77" s="118">
        <f>IFERROR($J$77/$J$12,0)</f>
        <v/>
      </c>
    </row>
    <row r="78" ht="15.75" customHeight="1" s="52">
      <c r="A78" s="108" t="n"/>
      <c r="B78" s="75" t="n"/>
      <c r="C78" s="75" t="n"/>
      <c r="D78" s="109">
        <f t="array" ref="D78:D78">IFERROR(INDEX(GroupLookup,MATCH(C78,CategoryList,0)),"")</f>
        <v/>
      </c>
      <c r="E78" s="110" t="n"/>
      <c r="F78" s="75" t="n"/>
      <c r="G78" s="75" t="n"/>
    </row>
    <row r="79" ht="15.75" customHeight="1" s="52">
      <c r="A79" s="114" t="n"/>
      <c r="B79" s="76" t="n"/>
      <c r="C79" s="76" t="n"/>
      <c r="D79" s="109">
        <f t="array" ref="D79:D79">IFERROR(INDEX(GroupLookup,MATCH(C79,CategoryList,0)),"")</f>
        <v/>
      </c>
      <c r="E79" s="112" t="n"/>
      <c r="F79" s="76" t="n"/>
      <c r="G79" s="76" t="n"/>
    </row>
    <row r="80" ht="15.75" customHeight="1" s="52">
      <c r="A80" s="108" t="n"/>
      <c r="B80" s="75" t="n"/>
      <c r="C80" s="75" t="n"/>
      <c r="D80" s="109">
        <f t="array" ref="D80:D80">IFERROR(INDEX(GroupLookup,MATCH(C80,CategoryList,0)),"")</f>
        <v/>
      </c>
      <c r="E80" s="110" t="n"/>
      <c r="F80" s="75" t="n"/>
      <c r="G80" s="75" t="n"/>
    </row>
    <row r="81" ht="15.75" customHeight="1" s="52">
      <c r="A81" s="114" t="n"/>
      <c r="B81" s="76" t="n"/>
      <c r="C81" s="76" t="n"/>
      <c r="D81" s="109">
        <f t="array" ref="D81:D81">IFERROR(INDEX(GroupLookup,MATCH(C81,CategoryList,0)),"")</f>
        <v/>
      </c>
      <c r="E81" s="112" t="n"/>
      <c r="F81" s="76" t="n"/>
      <c r="G81" s="76" t="n"/>
    </row>
    <row r="82" ht="15.75" customHeight="1" s="52">
      <c r="A82" s="108" t="n"/>
      <c r="B82" s="75" t="n"/>
      <c r="C82" s="75" t="n"/>
      <c r="D82" s="109">
        <f t="array" ref="D82:D82">IFERROR(INDEX(GroupLookup,MATCH(C82,CategoryList,0)),"")</f>
        <v/>
      </c>
      <c r="E82" s="110" t="n"/>
      <c r="F82" s="75" t="n"/>
      <c r="G82" s="75" t="n"/>
    </row>
    <row r="83" ht="15.75" customHeight="1" s="52">
      <c r="A83" s="114" t="n"/>
      <c r="B83" s="76" t="n"/>
      <c r="C83" s="76" t="n"/>
      <c r="D83" s="109">
        <f t="array" ref="D83:D83">IFERROR(INDEX(GroupLookup,MATCH(C83,CategoryList,0)),"")</f>
        <v/>
      </c>
      <c r="E83" s="112" t="n"/>
      <c r="F83" s="76" t="n"/>
      <c r="G83" s="76" t="n"/>
    </row>
    <row r="84" ht="15.75" customHeight="1" s="52">
      <c r="A84" s="108" t="n"/>
      <c r="B84" s="75" t="n"/>
      <c r="C84" s="75" t="n"/>
      <c r="D84" s="109">
        <f t="array" ref="D84:D84">IFERROR(INDEX(GroupLookup,MATCH(C84,CategoryList,0)),"")</f>
        <v/>
      </c>
      <c r="E84" s="110" t="n"/>
      <c r="F84" s="75" t="n"/>
      <c r="G84" s="75" t="n"/>
    </row>
    <row r="85" ht="15.75" customHeight="1" s="52">
      <c r="A85" s="114" t="n"/>
      <c r="B85" s="76" t="n"/>
      <c r="C85" s="76" t="n"/>
      <c r="D85" s="109">
        <f t="array" ref="D85:D85">IFERROR(INDEX(GroupLookup,MATCH(C85,CategoryList,0)),"")</f>
        <v/>
      </c>
      <c r="E85" s="112" t="n"/>
      <c r="F85" s="76" t="n"/>
      <c r="G85" s="76" t="n"/>
    </row>
    <row r="86" ht="15.75" customHeight="1" s="52">
      <c r="A86" s="108" t="n"/>
      <c r="B86" s="75" t="n"/>
      <c r="C86" s="75" t="n"/>
      <c r="D86" s="109">
        <f t="array" ref="D86:D86">IFERROR(INDEX(GroupLookup,MATCH(C86,CategoryList,0)),"")</f>
        <v/>
      </c>
      <c r="E86" s="110" t="n"/>
      <c r="F86" s="75" t="n"/>
      <c r="G86" s="75" t="n"/>
    </row>
    <row r="87" ht="15.75" customHeight="1" s="52">
      <c r="A87" s="114" t="n"/>
      <c r="B87" s="76" t="n"/>
      <c r="C87" s="76" t="n"/>
      <c r="D87" s="109">
        <f t="array" ref="D87:D87">IFERROR(INDEX(GroupLookup,MATCH(C87,CategoryList,0)),"")</f>
        <v/>
      </c>
      <c r="E87" s="112" t="n"/>
      <c r="F87" s="76" t="n"/>
      <c r="G87" s="76" t="n"/>
    </row>
    <row r="88" ht="15.75" customHeight="1" s="52">
      <c r="A88" s="108" t="n"/>
      <c r="B88" s="75" t="n"/>
      <c r="C88" s="75" t="n"/>
      <c r="D88" s="109">
        <f t="array" ref="D88:D88">IFERROR(INDEX(GroupLookup,MATCH(C88,CategoryList,0)),"")</f>
        <v/>
      </c>
      <c r="E88" s="110" t="n"/>
      <c r="F88" s="75" t="n"/>
      <c r="G88" s="75" t="n"/>
    </row>
    <row r="89" ht="15.75" customHeight="1" s="52">
      <c r="A89" s="114" t="n"/>
      <c r="B89" s="76" t="n"/>
      <c r="C89" s="76" t="n"/>
      <c r="D89" s="109">
        <f t="array" ref="D89:D89">IFERROR(INDEX(GroupLookup,MATCH(C89,CategoryList,0)),"")</f>
        <v/>
      </c>
      <c r="E89" s="112" t="n"/>
      <c r="F89" s="76" t="n"/>
      <c r="G89" s="76" t="n"/>
    </row>
    <row r="90" ht="15.75" customHeight="1" s="52">
      <c r="A90" s="108" t="n"/>
      <c r="B90" s="75" t="n"/>
      <c r="C90" s="75" t="n"/>
      <c r="D90" s="109">
        <f t="array" ref="D90:D90">IFERROR(INDEX(GroupLookup,MATCH(C90,CategoryList,0)),"")</f>
        <v/>
      </c>
      <c r="E90" s="110" t="n"/>
      <c r="F90" s="75" t="n"/>
      <c r="G90" s="75" t="n"/>
    </row>
    <row r="91" ht="15.75" customHeight="1" s="52">
      <c r="A91" s="114" t="n"/>
      <c r="B91" s="76" t="n"/>
      <c r="C91" s="76" t="n"/>
      <c r="D91" s="109">
        <f t="array" ref="D91:D91">IFERROR(INDEX(GroupLookup,MATCH(C91,CategoryList,0)),"")</f>
        <v/>
      </c>
      <c r="E91" s="112" t="n"/>
      <c r="F91" s="76" t="n"/>
      <c r="G91" s="76" t="n"/>
    </row>
    <row r="92" ht="15.75" customHeight="1" s="52">
      <c r="A92" s="108" t="n"/>
      <c r="B92" s="75" t="n"/>
      <c r="C92" s="75" t="n"/>
      <c r="D92" s="109">
        <f t="array" ref="D92:D92">IFERROR(INDEX(GroupLookup,MATCH(C92,CategoryList,0)),"")</f>
        <v/>
      </c>
      <c r="E92" s="110" t="n"/>
      <c r="F92" s="75" t="n"/>
      <c r="G92" s="75" t="n"/>
    </row>
    <row r="93" ht="15.75" customHeight="1" s="52">
      <c r="A93" s="114" t="n"/>
      <c r="B93" s="76" t="n"/>
      <c r="C93" s="76" t="n"/>
      <c r="D93" s="109">
        <f t="array" ref="D93:D93">IFERROR(INDEX(GroupLookup,MATCH(C93,CategoryList,0)),"")</f>
        <v/>
      </c>
      <c r="E93" s="112" t="n"/>
      <c r="F93" s="76" t="n"/>
      <c r="G93" s="76" t="n"/>
    </row>
    <row r="94" ht="15.75" customHeight="1" s="52">
      <c r="A94" s="108" t="n"/>
      <c r="B94" s="75" t="n"/>
      <c r="C94" s="75" t="n"/>
      <c r="D94" s="109">
        <f t="array" ref="D94:D94">IFERROR(INDEX(GroupLookup,MATCH(C94,CategoryList,0)),"")</f>
        <v/>
      </c>
      <c r="E94" s="110" t="n"/>
      <c r="F94" s="75" t="n"/>
      <c r="G94" s="75" t="n"/>
    </row>
    <row r="95" ht="15.75" customHeight="1" s="52">
      <c r="A95" s="114" t="n"/>
      <c r="B95" s="76" t="n"/>
      <c r="C95" s="76" t="n"/>
      <c r="D95" s="109">
        <f t="array" ref="D95:D95">IFERROR(INDEX(GroupLookup,MATCH(C95,CategoryList,0)),"")</f>
        <v/>
      </c>
      <c r="E95" s="112" t="n"/>
      <c r="F95" s="76" t="n"/>
      <c r="G95" s="76" t="n"/>
    </row>
    <row r="96" ht="15.75" customHeight="1" s="52">
      <c r="A96" s="108" t="n"/>
      <c r="B96" s="75" t="n"/>
      <c r="C96" s="75" t="n"/>
      <c r="D96" s="109">
        <f t="array" ref="D96:D96">IFERROR(INDEX(GroupLookup,MATCH(C96,CategoryList,0)),"")</f>
        <v/>
      </c>
      <c r="E96" s="110" t="n"/>
      <c r="F96" s="75" t="n"/>
      <c r="G96" s="75" t="n"/>
    </row>
    <row r="97" ht="15.75" customHeight="1" s="52">
      <c r="A97" s="114" t="n"/>
      <c r="B97" s="76" t="n"/>
      <c r="C97" s="76" t="n"/>
      <c r="D97" s="109">
        <f t="array" ref="D97:D97">IFERROR(INDEX(GroupLookup,MATCH(C97,CategoryList,0)),"")</f>
        <v/>
      </c>
      <c r="E97" s="112" t="n"/>
      <c r="F97" s="76" t="n"/>
      <c r="G97" s="76" t="n"/>
    </row>
    <row r="98" ht="15.75" customHeight="1" s="52">
      <c r="A98" s="108" t="n"/>
      <c r="B98" s="75" t="n"/>
      <c r="C98" s="75" t="n"/>
      <c r="D98" s="109">
        <f t="array" ref="D98:D98">IFERROR(INDEX(GroupLookup,MATCH(C98,CategoryList,0)),"")</f>
        <v/>
      </c>
      <c r="E98" s="110" t="n"/>
      <c r="F98" s="75" t="n"/>
      <c r="G98" s="75" t="n"/>
    </row>
    <row r="99" ht="15.75" customHeight="1" s="52">
      <c r="A99" s="114" t="n"/>
      <c r="B99" s="76" t="n"/>
      <c r="C99" s="76" t="n"/>
      <c r="D99" s="109">
        <f t="array" ref="D99:D99">IFERROR(INDEX(GroupLookup,MATCH(C99,CategoryList,0)),"")</f>
        <v/>
      </c>
      <c r="E99" s="112" t="n"/>
      <c r="F99" s="76" t="n"/>
      <c r="G99" s="76" t="n"/>
    </row>
    <row r="100" ht="15.75" customHeight="1" s="52">
      <c r="A100" s="108" t="n"/>
      <c r="B100" s="75" t="n"/>
      <c r="C100" s="75" t="n"/>
      <c r="D100" s="109">
        <f t="array" ref="D100:D100">IFERROR(INDEX(GroupLookup,MATCH(C100,CategoryList,0)),"")</f>
        <v/>
      </c>
      <c r="E100" s="110" t="n"/>
      <c r="F100" s="75" t="n"/>
      <c r="G100" s="75" t="n"/>
    </row>
    <row r="101" ht="15.75" customHeight="1" s="52">
      <c r="A101" s="114" t="n"/>
      <c r="B101" s="76" t="n"/>
      <c r="C101" s="76" t="n"/>
      <c r="D101" s="109">
        <f t="array" ref="D101:D101">IFERROR(INDEX(GroupLookup,MATCH(C101,CategoryList,0)),"")</f>
        <v/>
      </c>
      <c r="E101" s="112" t="n"/>
      <c r="F101" s="76" t="n"/>
      <c r="G101" s="76" t="n"/>
    </row>
    <row r="102" ht="15.75" customHeight="1" s="52">
      <c r="A102" s="108" t="n"/>
      <c r="B102" s="75" t="n"/>
      <c r="C102" s="75" t="n"/>
      <c r="D102" s="109">
        <f t="array" ref="D102:D102">IFERROR(INDEX(GroupLookup,MATCH(C102,CategoryList,0)),"")</f>
        <v/>
      </c>
      <c r="E102" s="110" t="n"/>
      <c r="F102" s="75" t="n"/>
      <c r="G102" s="75" t="n"/>
    </row>
    <row r="103" ht="15.75" customHeight="1" s="52">
      <c r="A103" s="114" t="n"/>
      <c r="B103" s="76" t="n"/>
      <c r="C103" s="76" t="n"/>
      <c r="D103" s="109">
        <f t="array" ref="D103:D103">IFERROR(INDEX(GroupLookup,MATCH(C103,CategoryList,0)),"")</f>
        <v/>
      </c>
      <c r="E103" s="112" t="n"/>
      <c r="F103" s="76" t="n"/>
      <c r="G103" s="76" t="n"/>
    </row>
    <row r="104" ht="15.75" customHeight="1" s="52">
      <c r="A104" s="108" t="n"/>
      <c r="B104" s="75" t="n"/>
      <c r="C104" s="75" t="n"/>
      <c r="D104" s="109">
        <f t="array" ref="D104:D104">IFERROR(INDEX(GroupLookup,MATCH(C104,CategoryList,0)),"")</f>
        <v/>
      </c>
      <c r="E104" s="110" t="n"/>
      <c r="F104" s="75" t="n"/>
      <c r="G104" s="75" t="n"/>
    </row>
    <row r="105" ht="15.75" customHeight="1" s="52">
      <c r="A105" s="114" t="n"/>
      <c r="B105" s="76" t="n"/>
      <c r="C105" s="76" t="n"/>
      <c r="D105" s="109">
        <f t="array" ref="D105:D105">IFERROR(INDEX(GroupLookup,MATCH(C105,CategoryList,0)),"")</f>
        <v/>
      </c>
      <c r="E105" s="112" t="n"/>
      <c r="F105" s="76" t="n"/>
      <c r="G105" s="76" t="n"/>
    </row>
    <row r="106" ht="15.75" customHeight="1" s="52">
      <c r="A106" s="108" t="n"/>
      <c r="B106" s="75" t="n"/>
      <c r="C106" s="75" t="n"/>
      <c r="D106" s="109">
        <f t="array" ref="D106:D106">IFERROR(INDEX(GroupLookup,MATCH(C106,CategoryList,0)),"")</f>
        <v/>
      </c>
      <c r="E106" s="110" t="n"/>
      <c r="F106" s="75" t="n"/>
      <c r="G106" s="75" t="n"/>
    </row>
    <row r="107" ht="15.75" customHeight="1" s="52">
      <c r="A107" s="114" t="n"/>
      <c r="B107" s="76" t="n"/>
      <c r="C107" s="76" t="n"/>
      <c r="D107" s="109">
        <f t="array" ref="D107:D107">IFERROR(INDEX(GroupLookup,MATCH(C107,CategoryList,0)),"")</f>
        <v/>
      </c>
      <c r="E107" s="112" t="n"/>
      <c r="F107" s="76" t="n"/>
      <c r="G107" s="76" t="n"/>
    </row>
    <row r="108" ht="15.75" customHeight="1" s="52">
      <c r="A108" s="108" t="n"/>
      <c r="B108" s="75" t="n"/>
      <c r="C108" s="75" t="n"/>
      <c r="D108" s="109">
        <f t="array" ref="D108:D108">IFERROR(INDEX(GroupLookup,MATCH(C108,CategoryList,0)),"")</f>
        <v/>
      </c>
      <c r="E108" s="110" t="n"/>
      <c r="F108" s="75" t="n"/>
      <c r="G108" s="75" t="n"/>
    </row>
    <row r="109" ht="15.75" customHeight="1" s="52">
      <c r="A109" s="114" t="n"/>
      <c r="B109" s="76" t="n"/>
      <c r="C109" s="76" t="n"/>
      <c r="D109" s="109">
        <f t="array" ref="D109:D109">IFERROR(INDEX(GroupLookup,MATCH(C109,CategoryList,0)),"")</f>
        <v/>
      </c>
      <c r="E109" s="112" t="n"/>
      <c r="F109" s="76" t="n"/>
      <c r="G109" s="76" t="n"/>
    </row>
    <row r="110" ht="15.75" customHeight="1" s="52">
      <c r="A110" s="108" t="n"/>
      <c r="B110" s="75" t="n"/>
      <c r="C110" s="75" t="n"/>
      <c r="D110" s="109">
        <f t="array" ref="D110:D110">IFERROR(INDEX(GroupLookup,MATCH(C110,CategoryList,0)),"")</f>
        <v/>
      </c>
      <c r="E110" s="110" t="n"/>
      <c r="F110" s="75" t="n"/>
      <c r="G110" s="75" t="n"/>
    </row>
    <row r="111" ht="15.75" customHeight="1" s="52">
      <c r="A111" s="114" t="n"/>
      <c r="B111" s="76" t="n"/>
      <c r="C111" s="76" t="n"/>
      <c r="D111" s="109">
        <f t="array" ref="D111:D111">IFERROR(INDEX(GroupLookup,MATCH(C111,CategoryList,0)),"")</f>
        <v/>
      </c>
      <c r="E111" s="112" t="n"/>
      <c r="F111" s="76" t="n"/>
      <c r="G111" s="76" t="n"/>
    </row>
    <row r="112" ht="15.75" customHeight="1" s="52">
      <c r="A112" s="108" t="n"/>
      <c r="B112" s="75" t="n"/>
      <c r="C112" s="75" t="n"/>
      <c r="D112" s="109">
        <f t="array" ref="D112:D112">IFERROR(INDEX(GroupLookup,MATCH(C112,CategoryList,0)),"")</f>
        <v/>
      </c>
      <c r="E112" s="110" t="n"/>
      <c r="F112" s="75" t="n"/>
      <c r="G112" s="75" t="n"/>
    </row>
    <row r="113" ht="15.75" customHeight="1" s="52">
      <c r="A113" s="114" t="n"/>
      <c r="B113" s="76" t="n"/>
      <c r="C113" s="76" t="n"/>
      <c r="D113" s="109">
        <f t="array" ref="D113:D113">IFERROR(INDEX(GroupLookup,MATCH(C113,CategoryList,0)),"")</f>
        <v/>
      </c>
      <c r="E113" s="112" t="n"/>
      <c r="F113" s="76" t="n"/>
      <c r="G113" s="76" t="n"/>
    </row>
    <row r="114" ht="15.75" customHeight="1" s="52">
      <c r="A114" s="108" t="n"/>
      <c r="B114" s="75" t="n"/>
      <c r="C114" s="75" t="n"/>
      <c r="D114" s="109">
        <f t="array" ref="D114:D114">IFERROR(INDEX(GroupLookup,MATCH(C114,CategoryList,0)),"")</f>
        <v/>
      </c>
      <c r="E114" s="110" t="n"/>
      <c r="F114" s="75" t="n"/>
      <c r="G114" s="75" t="n"/>
    </row>
    <row r="115" ht="15.75" customHeight="1" s="52">
      <c r="A115" s="114" t="n"/>
      <c r="B115" s="76" t="n"/>
      <c r="C115" s="76" t="n"/>
      <c r="D115" s="109">
        <f t="array" ref="D115:D115">IFERROR(INDEX(GroupLookup,MATCH(C115,CategoryList,0)),"")</f>
        <v/>
      </c>
      <c r="E115" s="112" t="n"/>
      <c r="F115" s="76" t="n"/>
      <c r="G115" s="76" t="n"/>
    </row>
    <row r="116" ht="15.75" customHeight="1" s="52">
      <c r="A116" s="108" t="n"/>
      <c r="B116" s="75" t="n"/>
      <c r="C116" s="75" t="n"/>
      <c r="D116" s="109">
        <f t="array" ref="D116:D116">IFERROR(INDEX(GroupLookup,MATCH(C116,CategoryList,0)),"")</f>
        <v/>
      </c>
      <c r="E116" s="110" t="n"/>
      <c r="F116" s="75" t="n"/>
      <c r="G116" s="75" t="n"/>
    </row>
    <row r="117" ht="15.75" customHeight="1" s="52">
      <c r="A117" s="114" t="n"/>
      <c r="B117" s="76" t="n"/>
      <c r="C117" s="76" t="n"/>
      <c r="D117" s="109">
        <f t="array" ref="D117:D117">IFERROR(INDEX(GroupLookup,MATCH(C117,CategoryList,0)),"")</f>
        <v/>
      </c>
      <c r="E117" s="112" t="n"/>
      <c r="F117" s="76" t="n"/>
      <c r="G117" s="76" t="n"/>
    </row>
    <row r="118" ht="15.75" customHeight="1" s="52">
      <c r="A118" s="108" t="n"/>
      <c r="B118" s="75" t="n"/>
      <c r="C118" s="75" t="n"/>
      <c r="D118" s="109">
        <f t="array" ref="D118:D118">IFERROR(INDEX(GroupLookup,MATCH(C118,CategoryList,0)),"")</f>
        <v/>
      </c>
      <c r="E118" s="110" t="n"/>
      <c r="F118" s="75" t="n"/>
      <c r="G118" s="75" t="n"/>
    </row>
    <row r="119" ht="15.75" customHeight="1" s="52">
      <c r="A119" s="114" t="n"/>
      <c r="B119" s="76" t="n"/>
      <c r="C119" s="76" t="n"/>
      <c r="D119" s="109">
        <f t="array" ref="D119:D119">IFERROR(INDEX(GroupLookup,MATCH(C119,CategoryList,0)),"")</f>
        <v/>
      </c>
      <c r="E119" s="112" t="n"/>
      <c r="F119" s="76" t="n"/>
      <c r="G119" s="76" t="n"/>
    </row>
    <row r="120" ht="15.75" customHeight="1" s="52">
      <c r="A120" s="108" t="n"/>
      <c r="B120" s="75" t="n"/>
      <c r="C120" s="75" t="n"/>
      <c r="D120" s="109">
        <f t="array" ref="D120:D120">IFERROR(INDEX(GroupLookup,MATCH(C120,CategoryList,0)),"")</f>
        <v/>
      </c>
      <c r="E120" s="110" t="n"/>
      <c r="F120" s="75" t="n"/>
      <c r="G120" s="75" t="n"/>
    </row>
    <row r="121" ht="15.75" customHeight="1" s="52">
      <c r="A121" s="114" t="n"/>
      <c r="B121" s="76" t="n"/>
      <c r="C121" s="76" t="n"/>
      <c r="D121" s="109">
        <f t="array" ref="D121:D121">IFERROR(INDEX(GroupLookup,MATCH(C121,CategoryList,0)),"")</f>
        <v/>
      </c>
      <c r="E121" s="112" t="n"/>
      <c r="F121" s="76" t="n"/>
      <c r="G121" s="76" t="n"/>
    </row>
    <row r="122" ht="15.75" customHeight="1" s="52">
      <c r="A122" s="108" t="n"/>
      <c r="B122" s="75" t="n"/>
      <c r="C122" s="75" t="n"/>
      <c r="D122" s="109">
        <f t="array" ref="D122:D122">IFERROR(INDEX(GroupLookup,MATCH(C122,CategoryList,0)),"")</f>
        <v/>
      </c>
      <c r="E122" s="110" t="n"/>
      <c r="F122" s="75" t="n"/>
      <c r="G122" s="75" t="n"/>
    </row>
    <row r="123" ht="15.75" customHeight="1" s="52">
      <c r="A123" s="114" t="n"/>
      <c r="B123" s="76" t="n"/>
      <c r="C123" s="76" t="n"/>
      <c r="D123" s="109">
        <f t="array" ref="D123:D123">IFERROR(INDEX(GroupLookup,MATCH(C123,CategoryList,0)),"")</f>
        <v/>
      </c>
      <c r="E123" s="112" t="n"/>
      <c r="F123" s="76" t="n"/>
      <c r="G123" s="76" t="n"/>
    </row>
    <row r="124" ht="15.75" customHeight="1" s="52">
      <c r="A124" s="108" t="n"/>
      <c r="B124" s="75" t="n"/>
      <c r="C124" s="75" t="n"/>
      <c r="D124" s="109">
        <f t="array" ref="D124:D124">IFERROR(INDEX(GroupLookup,MATCH(C124,CategoryList,0)),"")</f>
        <v/>
      </c>
      <c r="E124" s="110" t="n"/>
      <c r="F124" s="75" t="n"/>
      <c r="G124" s="75" t="n"/>
    </row>
    <row r="125" ht="15.75" customHeight="1" s="52">
      <c r="A125" s="114" t="n"/>
      <c r="B125" s="76" t="n"/>
      <c r="C125" s="76" t="n"/>
      <c r="D125" s="109">
        <f t="array" ref="D125:D125">IFERROR(INDEX(GroupLookup,MATCH(C125,CategoryList,0)),"")</f>
        <v/>
      </c>
      <c r="E125" s="112" t="n"/>
      <c r="F125" s="76" t="n"/>
      <c r="G125" s="76" t="n"/>
    </row>
    <row r="126" ht="15.75" customHeight="1" s="52">
      <c r="A126" s="108" t="n"/>
      <c r="B126" s="75" t="n"/>
      <c r="C126" s="75" t="n"/>
      <c r="D126" s="109">
        <f t="array" ref="D126:D126">IFERROR(INDEX(GroupLookup,MATCH(C126,CategoryList,0)),"")</f>
        <v/>
      </c>
      <c r="E126" s="110" t="n"/>
      <c r="F126" s="75" t="n"/>
      <c r="G126" s="75" t="n"/>
    </row>
    <row r="127" ht="15.75" customHeight="1" s="52">
      <c r="A127" s="114" t="n"/>
      <c r="B127" s="76" t="n"/>
      <c r="C127" s="76" t="n"/>
      <c r="D127" s="109">
        <f t="array" ref="D127:D127">IFERROR(INDEX(GroupLookup,MATCH(C127,CategoryList,0)),"")</f>
        <v/>
      </c>
      <c r="E127" s="112" t="n"/>
      <c r="F127" s="76" t="n"/>
      <c r="G127" s="76" t="n"/>
    </row>
    <row r="128" ht="15.75" customHeight="1" s="52">
      <c r="A128" s="108" t="n"/>
      <c r="B128" s="75" t="n"/>
      <c r="C128" s="75" t="n"/>
      <c r="D128" s="109">
        <f t="array" ref="D128:D128">IFERROR(INDEX(GroupLookup,MATCH(C128,CategoryList,0)),"")</f>
        <v/>
      </c>
      <c r="E128" s="110" t="n"/>
      <c r="F128" s="75" t="n"/>
      <c r="G128" s="75" t="n"/>
    </row>
    <row r="129" ht="15.75" customHeight="1" s="52">
      <c r="A129" s="114" t="n"/>
      <c r="B129" s="76" t="n"/>
      <c r="C129" s="76" t="n"/>
      <c r="D129" s="109">
        <f t="array" ref="D129:D129">IFERROR(INDEX(GroupLookup,MATCH(C129,CategoryList,0)),"")</f>
        <v/>
      </c>
      <c r="E129" s="112" t="n"/>
      <c r="F129" s="76" t="n"/>
      <c r="G129" s="76" t="n"/>
    </row>
    <row r="130" ht="15.75" customHeight="1" s="52">
      <c r="A130" s="108" t="n"/>
      <c r="B130" s="75" t="n"/>
      <c r="C130" s="75" t="n"/>
      <c r="D130" s="109">
        <f t="array" ref="D130:D130">IFERROR(INDEX(GroupLookup,MATCH(C130,CategoryList,0)),"")</f>
        <v/>
      </c>
      <c r="E130" s="110" t="n"/>
      <c r="F130" s="75" t="n"/>
      <c r="G130" s="75" t="n"/>
    </row>
    <row r="131" ht="15.75" customHeight="1" s="52">
      <c r="A131" s="114" t="n"/>
      <c r="B131" s="76" t="n"/>
      <c r="C131" s="76" t="n"/>
      <c r="D131" s="109">
        <f t="array" ref="D131:D131">IFERROR(INDEX(GroupLookup,MATCH(C131,CategoryList,0)),"")</f>
        <v/>
      </c>
      <c r="E131" s="112" t="n"/>
      <c r="F131" s="76" t="n"/>
      <c r="G131" s="76" t="n"/>
    </row>
    <row r="132" ht="15.75" customHeight="1" s="52">
      <c r="A132" s="108" t="n"/>
      <c r="B132" s="75" t="n"/>
      <c r="C132" s="75" t="n"/>
      <c r="D132" s="109">
        <f t="array" ref="D132:D132">IFERROR(INDEX(GroupLookup,MATCH(C132,CategoryList,0)),"")</f>
        <v/>
      </c>
      <c r="E132" s="110" t="n"/>
      <c r="F132" s="75" t="n"/>
      <c r="G132" s="75" t="n"/>
    </row>
    <row r="133" ht="15.75" customHeight="1" s="52">
      <c r="A133" s="114" t="n"/>
      <c r="B133" s="76" t="n"/>
      <c r="C133" s="76" t="n"/>
      <c r="D133" s="109">
        <f t="array" ref="D133:D133">IFERROR(INDEX(GroupLookup,MATCH(C133,CategoryList,0)),"")</f>
        <v/>
      </c>
      <c r="E133" s="112" t="n"/>
      <c r="F133" s="76" t="n"/>
      <c r="G133" s="76" t="n"/>
    </row>
    <row r="134" ht="15.75" customHeight="1" s="52">
      <c r="A134" s="108" t="n"/>
      <c r="B134" s="75" t="n"/>
      <c r="C134" s="75" t="n"/>
      <c r="D134" s="109">
        <f t="array" ref="D134:D134">IFERROR(INDEX(GroupLookup,MATCH(C134,CategoryList,0)),"")</f>
        <v/>
      </c>
      <c r="E134" s="110" t="n"/>
      <c r="F134" s="75" t="n"/>
      <c r="G134" s="75" t="n"/>
    </row>
    <row r="135" ht="15.75" customHeight="1" s="52">
      <c r="A135" s="114" t="n"/>
      <c r="B135" s="76" t="n"/>
      <c r="C135" s="76" t="n"/>
      <c r="D135" s="109">
        <f t="array" ref="D135:D135">IFERROR(INDEX(GroupLookup,MATCH(C135,CategoryList,0)),"")</f>
        <v/>
      </c>
      <c r="E135" s="112" t="n"/>
      <c r="F135" s="76" t="n"/>
      <c r="G135" s="76" t="n"/>
    </row>
    <row r="136" ht="15.75" customHeight="1" s="52">
      <c r="A136" s="108" t="n"/>
      <c r="B136" s="75" t="n"/>
      <c r="C136" s="75" t="n"/>
      <c r="D136" s="109">
        <f t="array" ref="D136:D136">IFERROR(INDEX(GroupLookup,MATCH(C136,CategoryList,0)),"")</f>
        <v/>
      </c>
      <c r="E136" s="110" t="n"/>
      <c r="F136" s="75" t="n"/>
      <c r="G136" s="75" t="n"/>
    </row>
    <row r="137" ht="15.75" customHeight="1" s="52">
      <c r="A137" s="114" t="n"/>
      <c r="B137" s="76" t="n"/>
      <c r="C137" s="76" t="n"/>
      <c r="D137" s="109">
        <f t="array" ref="D137:D137">IFERROR(INDEX(GroupLookup,MATCH(C137,CategoryList,0)),"")</f>
        <v/>
      </c>
      <c r="E137" s="112" t="n"/>
      <c r="F137" s="76" t="n"/>
      <c r="G137" s="76" t="n"/>
    </row>
    <row r="138" ht="15.75" customHeight="1" s="52">
      <c r="A138" s="108" t="n"/>
      <c r="B138" s="75" t="n"/>
      <c r="C138" s="75" t="n"/>
      <c r="D138" s="109">
        <f t="array" ref="D138:D138">IFERROR(INDEX(GroupLookup,MATCH(C138,CategoryList,0)),"")</f>
        <v/>
      </c>
      <c r="E138" s="110" t="n"/>
      <c r="F138" s="75" t="n"/>
      <c r="G138" s="75" t="n"/>
    </row>
    <row r="139" ht="15.75" customHeight="1" s="52">
      <c r="A139" s="114" t="n"/>
      <c r="B139" s="76" t="n"/>
      <c r="C139" s="76" t="n"/>
      <c r="D139" s="109">
        <f t="array" ref="D139:D139">IFERROR(INDEX(GroupLookup,MATCH(C139,CategoryList,0)),"")</f>
        <v/>
      </c>
      <c r="E139" s="112" t="n"/>
      <c r="F139" s="76" t="n"/>
      <c r="G139" s="76" t="n"/>
    </row>
    <row r="140" ht="15.75" customHeight="1" s="52">
      <c r="A140" s="108" t="n"/>
      <c r="B140" s="75" t="n"/>
      <c r="C140" s="75" t="n"/>
      <c r="D140" s="109">
        <f t="array" ref="D140:D140">IFERROR(INDEX(GroupLookup,MATCH(C140,CategoryList,0)),"")</f>
        <v/>
      </c>
      <c r="E140" s="110" t="n"/>
      <c r="F140" s="75" t="n"/>
      <c r="G140" s="75" t="n"/>
    </row>
    <row r="141" ht="15.75" customHeight="1" s="52">
      <c r="A141" s="114" t="n"/>
      <c r="B141" s="76" t="n"/>
      <c r="C141" s="76" t="n"/>
      <c r="D141" s="109">
        <f t="array" ref="D141:D141">IFERROR(INDEX(GroupLookup,MATCH(C141,CategoryList,0)),"")</f>
        <v/>
      </c>
      <c r="E141" s="112" t="n"/>
      <c r="F141" s="76" t="n"/>
      <c r="G141" s="76" t="n"/>
    </row>
    <row r="142" ht="15.75" customHeight="1" s="52">
      <c r="A142" s="108" t="n"/>
      <c r="B142" s="75" t="n"/>
      <c r="C142" s="75" t="n"/>
      <c r="D142" s="109">
        <f t="array" ref="D142:D142">IFERROR(INDEX(GroupLookup,MATCH(C142,CategoryList,0)),"")</f>
        <v/>
      </c>
      <c r="E142" s="110" t="n"/>
      <c r="F142" s="75" t="n"/>
      <c r="G142" s="75" t="n"/>
    </row>
    <row r="143" ht="15.75" customHeight="1" s="52">
      <c r="A143" s="114" t="n"/>
      <c r="B143" s="76" t="n"/>
      <c r="C143" s="76" t="n"/>
      <c r="D143" s="109">
        <f t="array" ref="D143:D143">IFERROR(INDEX(GroupLookup,MATCH(C143,CategoryList,0)),"")</f>
        <v/>
      </c>
      <c r="E143" s="112" t="n"/>
      <c r="F143" s="76" t="n"/>
      <c r="G143" s="76" t="n"/>
    </row>
    <row r="144" ht="15.75" customHeight="1" s="52">
      <c r="A144" s="108" t="n"/>
      <c r="B144" s="75" t="n"/>
      <c r="C144" s="75" t="n"/>
      <c r="D144" s="109">
        <f t="array" ref="D144:D144">IFERROR(INDEX(GroupLookup,MATCH(C144,CategoryList,0)),"")</f>
        <v/>
      </c>
      <c r="E144" s="110" t="n"/>
      <c r="F144" s="75" t="n"/>
      <c r="G144" s="75" t="n"/>
    </row>
    <row r="145" ht="15.75" customHeight="1" s="52">
      <c r="A145" s="114" t="n"/>
      <c r="B145" s="76" t="n"/>
      <c r="C145" s="76" t="n"/>
      <c r="D145" s="109">
        <f t="array" ref="D145:D145">IFERROR(INDEX(GroupLookup,MATCH(C145,CategoryList,0)),"")</f>
        <v/>
      </c>
      <c r="E145" s="112" t="n"/>
      <c r="F145" s="76" t="n"/>
      <c r="G145" s="76" t="n"/>
    </row>
    <row r="146" ht="15.75" customHeight="1" s="52">
      <c r="A146" s="108" t="n"/>
      <c r="B146" s="75" t="n"/>
      <c r="C146" s="75" t="n"/>
      <c r="D146" s="109">
        <f t="array" ref="D146:D146">IFERROR(INDEX(GroupLookup,MATCH(C146,CategoryList,0)),"")</f>
        <v/>
      </c>
      <c r="E146" s="110" t="n"/>
      <c r="F146" s="75" t="n"/>
      <c r="G146" s="75" t="n"/>
    </row>
    <row r="147" ht="15.75" customHeight="1" s="52">
      <c r="A147" s="114" t="n"/>
      <c r="B147" s="76" t="n"/>
      <c r="C147" s="76" t="n"/>
      <c r="D147" s="109">
        <f t="array" ref="D147:D147">IFERROR(INDEX(GroupLookup,MATCH(C147,CategoryList,0)),"")</f>
        <v/>
      </c>
      <c r="E147" s="112" t="n"/>
      <c r="F147" s="76" t="n"/>
      <c r="G147" s="76" t="n"/>
    </row>
    <row r="148" ht="15.75" customHeight="1" s="52">
      <c r="A148" s="108" t="n"/>
      <c r="B148" s="75" t="n"/>
      <c r="C148" s="75" t="n"/>
      <c r="D148" s="109">
        <f t="array" ref="D148:D148">IFERROR(INDEX(GroupLookup,MATCH(C148,CategoryList,0)),"")</f>
        <v/>
      </c>
      <c r="E148" s="110" t="n"/>
      <c r="F148" s="75" t="n"/>
      <c r="G148" s="75" t="n"/>
    </row>
    <row r="149" ht="15.75" customHeight="1" s="52">
      <c r="A149" s="114" t="n"/>
      <c r="B149" s="76" t="n"/>
      <c r="C149" s="76" t="n"/>
      <c r="D149" s="109">
        <f t="array" ref="D149:D149">IFERROR(INDEX(GroupLookup,MATCH(C149,CategoryList,0)),"")</f>
        <v/>
      </c>
      <c r="E149" s="112" t="n"/>
      <c r="F149" s="76" t="n"/>
      <c r="G149" s="76" t="n"/>
    </row>
    <row r="150" ht="15.75" customHeight="1" s="52">
      <c r="A150" s="108" t="n"/>
      <c r="B150" s="75" t="n"/>
      <c r="C150" s="75" t="n"/>
      <c r="D150" s="109">
        <f t="array" ref="D150:D150">IFERROR(INDEX(GroupLookup,MATCH(C150,CategoryList,0)),"")</f>
        <v/>
      </c>
      <c r="E150" s="110" t="n"/>
      <c r="F150" s="75" t="n"/>
      <c r="G150" s="75" t="n"/>
    </row>
    <row r="151" ht="15.75" customHeight="1" s="52">
      <c r="A151" s="114" t="n"/>
      <c r="B151" s="76" t="n"/>
      <c r="C151" s="76" t="n"/>
      <c r="D151" s="109">
        <f t="array" ref="D151:D151">IFERROR(INDEX(GroupLookup,MATCH(C151,CategoryList,0)),"")</f>
        <v/>
      </c>
      <c r="E151" s="112" t="n"/>
      <c r="F151" s="76" t="n"/>
      <c r="G151" s="76" t="n"/>
    </row>
    <row r="152" ht="15.75" customHeight="1" s="52">
      <c r="A152" s="108" t="n"/>
      <c r="B152" s="75" t="n"/>
      <c r="C152" s="75" t="n"/>
      <c r="D152" s="109">
        <f t="array" ref="D152:D152">IFERROR(INDEX(GroupLookup,MATCH(C152,CategoryList,0)),"")</f>
        <v/>
      </c>
      <c r="E152" s="110" t="n"/>
      <c r="F152" s="75" t="n"/>
      <c r="G152" s="75" t="n"/>
    </row>
    <row r="153" ht="15.75" customHeight="1" s="52">
      <c r="A153" s="114" t="n"/>
      <c r="B153" s="76" t="n"/>
      <c r="C153" s="76" t="n"/>
      <c r="D153" s="109">
        <f t="array" ref="D153:D153">IFERROR(INDEX(GroupLookup,MATCH(C153,CategoryList,0)),"")</f>
        <v/>
      </c>
      <c r="E153" s="112" t="n"/>
      <c r="F153" s="76" t="n"/>
      <c r="G153" s="76" t="n"/>
    </row>
    <row r="154" ht="15.75" customHeight="1" s="52">
      <c r="A154" s="108" t="n"/>
      <c r="B154" s="75" t="n"/>
      <c r="C154" s="75" t="n"/>
      <c r="D154" s="109">
        <f t="array" ref="D154:D154">IFERROR(INDEX(GroupLookup,MATCH(C154,CategoryList,0)),"")</f>
        <v/>
      </c>
      <c r="E154" s="110" t="n"/>
      <c r="F154" s="75" t="n"/>
      <c r="G154" s="75" t="n"/>
    </row>
    <row r="155" ht="15.75" customHeight="1" s="52">
      <c r="A155" s="114" t="n"/>
      <c r="B155" s="76" t="n"/>
      <c r="C155" s="76" t="n"/>
      <c r="D155" s="109">
        <f t="array" ref="D155:D155">IFERROR(INDEX(GroupLookup,MATCH(C155,CategoryList,0)),"")</f>
        <v/>
      </c>
      <c r="E155" s="112" t="n"/>
      <c r="F155" s="76" t="n"/>
      <c r="G155" s="76" t="n"/>
    </row>
    <row r="156" ht="15.75" customHeight="1" s="52">
      <c r="A156" s="108" t="n"/>
      <c r="B156" s="75" t="n"/>
      <c r="C156" s="75" t="n"/>
      <c r="D156" s="109">
        <f t="array" ref="D156:D156">IFERROR(INDEX(GroupLookup,MATCH(C156,CategoryList,0)),"")</f>
        <v/>
      </c>
      <c r="E156" s="110" t="n"/>
      <c r="F156" s="75" t="n"/>
      <c r="G156" s="75" t="n"/>
    </row>
    <row r="157" ht="15.75" customHeight="1" s="52">
      <c r="A157" s="114" t="n"/>
      <c r="B157" s="76" t="n"/>
      <c r="C157" s="76" t="n"/>
      <c r="D157" s="109">
        <f t="array" ref="D157:D157">IFERROR(INDEX(GroupLookup,MATCH(C157,CategoryList,0)),"")</f>
        <v/>
      </c>
      <c r="E157" s="112" t="n"/>
      <c r="F157" s="76" t="n"/>
      <c r="G157" s="76" t="n"/>
    </row>
    <row r="158" ht="15.75" customHeight="1" s="52">
      <c r="A158" s="108" t="n"/>
      <c r="B158" s="75" t="n"/>
      <c r="C158" s="75" t="n"/>
      <c r="D158" s="109">
        <f t="array" ref="D158:D158">IFERROR(INDEX(GroupLookup,MATCH(C158,CategoryList,0)),"")</f>
        <v/>
      </c>
      <c r="E158" s="110" t="n"/>
      <c r="F158" s="75" t="n"/>
      <c r="G158" s="75" t="n"/>
    </row>
    <row r="159" ht="15.75" customHeight="1" s="52">
      <c r="A159" s="114" t="n"/>
      <c r="B159" s="76" t="n"/>
      <c r="C159" s="76" t="n"/>
      <c r="D159" s="109">
        <f t="array" ref="D159:D159">IFERROR(INDEX(GroupLookup,MATCH(C159,CategoryList,0)),"")</f>
        <v/>
      </c>
      <c r="E159" s="112" t="n"/>
      <c r="F159" s="76" t="n"/>
      <c r="G159" s="76" t="n"/>
    </row>
    <row r="160" ht="15.75" customHeight="1" s="52">
      <c r="A160" s="108" t="n"/>
      <c r="B160" s="75" t="n"/>
      <c r="C160" s="75" t="n"/>
      <c r="D160" s="109">
        <f t="array" ref="D160:D160">IFERROR(INDEX(GroupLookup,MATCH(C160,CategoryList,0)),"")</f>
        <v/>
      </c>
      <c r="E160" s="110" t="n"/>
      <c r="F160" s="75" t="n"/>
      <c r="G160" s="75" t="n"/>
    </row>
    <row r="161" ht="15.75" customHeight="1" s="52">
      <c r="A161" s="114" t="n"/>
      <c r="B161" s="76" t="n"/>
      <c r="C161" s="76" t="n"/>
      <c r="D161" s="109">
        <f t="array" ref="D161:D161">IFERROR(INDEX(GroupLookup,MATCH(C161,CategoryList,0)),"")</f>
        <v/>
      </c>
      <c r="E161" s="112" t="n"/>
      <c r="F161" s="76" t="n"/>
      <c r="G161" s="76" t="n"/>
    </row>
    <row r="162" ht="15.75" customHeight="1" s="52">
      <c r="A162" s="108" t="n"/>
      <c r="B162" s="75" t="n"/>
      <c r="C162" s="75" t="n"/>
      <c r="D162" s="109">
        <f t="array" ref="D162:D162">IFERROR(INDEX(GroupLookup,MATCH(C162,CategoryList,0)),"")</f>
        <v/>
      </c>
      <c r="E162" s="110" t="n"/>
      <c r="F162" s="75" t="n"/>
      <c r="G162" s="75" t="n"/>
    </row>
    <row r="163" ht="15.75" customHeight="1" s="52">
      <c r="A163" s="114" t="n"/>
      <c r="B163" s="76" t="n"/>
      <c r="C163" s="76" t="n"/>
      <c r="D163" s="109">
        <f t="array" ref="D163:D163">IFERROR(INDEX(GroupLookup,MATCH(C163,CategoryList,0)),"")</f>
        <v/>
      </c>
      <c r="E163" s="112" t="n"/>
      <c r="F163" s="76" t="n"/>
      <c r="G163" s="76" t="n"/>
    </row>
    <row r="164" ht="15.75" customHeight="1" s="52">
      <c r="A164" s="108" t="n"/>
      <c r="B164" s="75" t="n"/>
      <c r="C164" s="75" t="n"/>
      <c r="D164" s="109">
        <f t="array" ref="D164:D164">IFERROR(INDEX(GroupLookup,MATCH(C164,CategoryList,0)),"")</f>
        <v/>
      </c>
      <c r="E164" s="110" t="n"/>
      <c r="F164" s="75" t="n"/>
      <c r="G164" s="75" t="n"/>
    </row>
    <row r="165" ht="15.75" customHeight="1" s="52">
      <c r="A165" s="114" t="n"/>
      <c r="B165" s="76" t="n"/>
      <c r="C165" s="76" t="n"/>
      <c r="D165" s="109">
        <f t="array" ref="D165:D165">IFERROR(INDEX(GroupLookup,MATCH(C165,CategoryList,0)),"")</f>
        <v/>
      </c>
      <c r="E165" s="112" t="n"/>
      <c r="F165" s="76" t="n"/>
      <c r="G165" s="76" t="n"/>
    </row>
    <row r="166" ht="15.75" customHeight="1" s="52">
      <c r="A166" s="108" t="n"/>
      <c r="B166" s="75" t="n"/>
      <c r="C166" s="75" t="n"/>
      <c r="D166" s="109">
        <f t="array" ref="D166:D166">IFERROR(INDEX(GroupLookup,MATCH(C166,CategoryList,0)),"")</f>
        <v/>
      </c>
      <c r="E166" s="110" t="n"/>
      <c r="F166" s="75" t="n"/>
      <c r="G166" s="75" t="n"/>
    </row>
    <row r="167" ht="15.75" customHeight="1" s="52">
      <c r="A167" s="114" t="n"/>
      <c r="B167" s="76" t="n"/>
      <c r="C167" s="76" t="n"/>
      <c r="D167" s="109">
        <f t="array" ref="D167:D167">IFERROR(INDEX(GroupLookup,MATCH(C167,CategoryList,0)),"")</f>
        <v/>
      </c>
      <c r="E167" s="112" t="n"/>
      <c r="F167" s="76" t="n"/>
      <c r="G167" s="76" t="n"/>
    </row>
    <row r="168" ht="15.75" customHeight="1" s="52">
      <c r="A168" s="108" t="n"/>
      <c r="B168" s="75" t="n"/>
      <c r="C168" s="75" t="n"/>
      <c r="D168" s="109">
        <f t="array" ref="D168:D168">IFERROR(INDEX(GroupLookup,MATCH(C168,CategoryList,0)),"")</f>
        <v/>
      </c>
      <c r="E168" s="110" t="n"/>
      <c r="F168" s="75" t="n"/>
      <c r="G168" s="75" t="n"/>
    </row>
    <row r="169" ht="15.75" customHeight="1" s="52">
      <c r="A169" s="114" t="n"/>
      <c r="B169" s="76" t="n"/>
      <c r="C169" s="76" t="n"/>
      <c r="D169" s="109">
        <f t="array" ref="D169:D169">IFERROR(INDEX(GroupLookup,MATCH(C169,CategoryList,0)),"")</f>
        <v/>
      </c>
      <c r="E169" s="112" t="n"/>
      <c r="F169" s="76" t="n"/>
      <c r="G169" s="76" t="n"/>
    </row>
    <row r="170" ht="15.75" customHeight="1" s="52">
      <c r="A170" s="108" t="n"/>
      <c r="B170" s="75" t="n"/>
      <c r="C170" s="75" t="n"/>
      <c r="D170" s="109">
        <f t="array" ref="D170:D170">IFERROR(INDEX(GroupLookup,MATCH(C170,CategoryList,0)),"")</f>
        <v/>
      </c>
      <c r="E170" s="110" t="n"/>
      <c r="F170" s="75" t="n"/>
      <c r="G170" s="75" t="n"/>
    </row>
    <row r="171" ht="15.75" customHeight="1" s="52">
      <c r="A171" s="114" t="n"/>
      <c r="B171" s="76" t="n"/>
      <c r="C171" s="76" t="n"/>
      <c r="D171" s="109">
        <f t="array" ref="D171:D171">IFERROR(INDEX(GroupLookup,MATCH(C171,CategoryList,0)),"")</f>
        <v/>
      </c>
      <c r="E171" s="112" t="n"/>
      <c r="F171" s="76" t="n"/>
      <c r="G171" s="76" t="n"/>
    </row>
    <row r="172" ht="15.75" customHeight="1" s="52">
      <c r="A172" s="108" t="n"/>
      <c r="B172" s="75" t="n"/>
      <c r="C172" s="75" t="n"/>
      <c r="D172" s="109">
        <f t="array" ref="D172:D172">IFERROR(INDEX(GroupLookup,MATCH(C172,CategoryList,0)),"")</f>
        <v/>
      </c>
      <c r="E172" s="110" t="n"/>
      <c r="F172" s="75" t="n"/>
      <c r="G172" s="75" t="n"/>
    </row>
    <row r="173" ht="15.75" customHeight="1" s="52">
      <c r="A173" s="114" t="n"/>
      <c r="B173" s="76" t="n"/>
      <c r="C173" s="76" t="n"/>
      <c r="D173" s="109">
        <f t="array" ref="D173:D173">IFERROR(INDEX(GroupLookup,MATCH(C173,CategoryList,0)),"")</f>
        <v/>
      </c>
      <c r="E173" s="112" t="n"/>
      <c r="F173" s="76" t="n"/>
      <c r="G173" s="76" t="n"/>
    </row>
    <row r="174" ht="15.75" customHeight="1" s="52">
      <c r="A174" s="108" t="n"/>
      <c r="B174" s="75" t="n"/>
      <c r="C174" s="75" t="n"/>
      <c r="D174" s="109">
        <f t="array" ref="D174:D174">IFERROR(INDEX(GroupLookup,MATCH(C174,CategoryList,0)),"")</f>
        <v/>
      </c>
      <c r="E174" s="110" t="n"/>
      <c r="F174" s="75" t="n"/>
      <c r="G174" s="75" t="n"/>
    </row>
    <row r="175" ht="15.75" customHeight="1" s="52">
      <c r="A175" s="114" t="n"/>
      <c r="B175" s="76" t="n"/>
      <c r="C175" s="76" t="n"/>
      <c r="D175" s="109">
        <f t="array" ref="D175:D175">IFERROR(INDEX(GroupLookup,MATCH(C175,CategoryList,0)),"")</f>
        <v/>
      </c>
      <c r="E175" s="112" t="n"/>
      <c r="F175" s="76" t="n"/>
      <c r="G175" s="76" t="n"/>
    </row>
    <row r="176" ht="15.75" customHeight="1" s="52">
      <c r="A176" s="108" t="n"/>
      <c r="B176" s="75" t="n"/>
      <c r="C176" s="75" t="n"/>
      <c r="D176" s="109">
        <f t="array" ref="D176:D176">IFERROR(INDEX(GroupLookup,MATCH(C176,CategoryList,0)),"")</f>
        <v/>
      </c>
      <c r="E176" s="110" t="n"/>
      <c r="F176" s="75" t="n"/>
      <c r="G176" s="75" t="n"/>
    </row>
    <row r="177" ht="15.75" customHeight="1" s="52">
      <c r="A177" s="114" t="n"/>
      <c r="B177" s="76" t="n"/>
      <c r="C177" s="76" t="n"/>
      <c r="D177" s="109">
        <f t="array" ref="D177:D177">IFERROR(INDEX(GroupLookup,MATCH(C177,CategoryList,0)),"")</f>
        <v/>
      </c>
      <c r="E177" s="112" t="n"/>
      <c r="F177" s="76" t="n"/>
      <c r="G177" s="76" t="n"/>
    </row>
    <row r="178" ht="15.75" customHeight="1" s="52">
      <c r="A178" s="108" t="n"/>
      <c r="B178" s="75" t="n"/>
      <c r="C178" s="75" t="n"/>
      <c r="D178" s="109">
        <f t="array" ref="D178:D178">IFERROR(INDEX(GroupLookup,MATCH(C178,CategoryList,0)),"")</f>
        <v/>
      </c>
      <c r="E178" s="110" t="n"/>
      <c r="F178" s="75" t="n"/>
      <c r="G178" s="75" t="n"/>
    </row>
    <row r="179" ht="15.75" customHeight="1" s="52">
      <c r="A179" s="114" t="n"/>
      <c r="B179" s="76" t="n"/>
      <c r="C179" s="76" t="n"/>
      <c r="D179" s="109">
        <f t="array" ref="D179:D179">IFERROR(INDEX(GroupLookup,MATCH(C179,CategoryList,0)),"")</f>
        <v/>
      </c>
      <c r="E179" s="112" t="n"/>
      <c r="F179" s="76" t="n"/>
      <c r="G179" s="76" t="n"/>
    </row>
    <row r="180" ht="15.75" customHeight="1" s="52">
      <c r="A180" s="108" t="n"/>
      <c r="B180" s="75" t="n"/>
      <c r="C180" s="75" t="n"/>
      <c r="D180" s="109">
        <f t="array" ref="D180:D180">IFERROR(INDEX(GroupLookup,MATCH(C180,CategoryList,0)),"")</f>
        <v/>
      </c>
      <c r="E180" s="110" t="n"/>
      <c r="F180" s="75" t="n"/>
      <c r="G180" s="75" t="n"/>
    </row>
    <row r="181" ht="15.75" customHeight="1" s="52">
      <c r="A181" s="114" t="n"/>
      <c r="B181" s="76" t="n"/>
      <c r="C181" s="76" t="n"/>
      <c r="D181" s="109">
        <f t="array" ref="D181:D181">IFERROR(INDEX(GroupLookup,MATCH(C181,CategoryList,0)),"")</f>
        <v/>
      </c>
      <c r="E181" s="112" t="n"/>
      <c r="F181" s="76" t="n"/>
      <c r="G181" s="76" t="n"/>
    </row>
    <row r="182" ht="15.75" customHeight="1" s="52">
      <c r="A182" s="108" t="n"/>
      <c r="B182" s="75" t="n"/>
      <c r="C182" s="75" t="n"/>
      <c r="D182" s="109">
        <f t="array" ref="D182:D182">IFERROR(INDEX(GroupLookup,MATCH(C182,CategoryList,0)),"")</f>
        <v/>
      </c>
      <c r="E182" s="110" t="n"/>
      <c r="F182" s="75" t="n"/>
      <c r="G182" s="75" t="n"/>
    </row>
    <row r="183" ht="15.75" customHeight="1" s="52">
      <c r="A183" s="114" t="n"/>
      <c r="B183" s="76" t="n"/>
      <c r="C183" s="76" t="n"/>
      <c r="D183" s="109">
        <f t="array" ref="D183:D183">IFERROR(INDEX(GroupLookup,MATCH(C183,CategoryList,0)),"")</f>
        <v/>
      </c>
      <c r="E183" s="112" t="n"/>
      <c r="F183" s="76" t="n"/>
      <c r="G183" s="76" t="n"/>
    </row>
    <row r="184" ht="15.75" customHeight="1" s="52">
      <c r="A184" s="108" t="n"/>
      <c r="B184" s="75" t="n"/>
      <c r="C184" s="75" t="n"/>
      <c r="D184" s="109">
        <f t="array" ref="D184:D184">IFERROR(INDEX(GroupLookup,MATCH(C184,CategoryList,0)),"")</f>
        <v/>
      </c>
      <c r="E184" s="110" t="n"/>
      <c r="F184" s="75" t="n"/>
      <c r="G184" s="75" t="n"/>
    </row>
    <row r="185" ht="15.75" customHeight="1" s="52">
      <c r="A185" s="114" t="n"/>
      <c r="B185" s="76" t="n"/>
      <c r="C185" s="76" t="n"/>
      <c r="D185" s="109">
        <f t="array" ref="D185:D185">IFERROR(INDEX(GroupLookup,MATCH(C185,CategoryList,0)),"")</f>
        <v/>
      </c>
      <c r="E185" s="112" t="n"/>
      <c r="F185" s="76" t="n"/>
      <c r="G185" s="76" t="n"/>
    </row>
    <row r="186" ht="15.75" customHeight="1" s="52">
      <c r="A186" s="108" t="n"/>
      <c r="B186" s="75" t="n"/>
      <c r="C186" s="75" t="n"/>
      <c r="D186" s="109">
        <f t="array" ref="D186:D186">IFERROR(INDEX(GroupLookup,MATCH(C186,CategoryList,0)),"")</f>
        <v/>
      </c>
      <c r="E186" s="110" t="n"/>
      <c r="F186" s="75" t="n"/>
      <c r="G186" s="75" t="n"/>
    </row>
    <row r="187" ht="15.75" customHeight="1" s="52">
      <c r="A187" s="114" t="n"/>
      <c r="B187" s="76" t="n"/>
      <c r="C187" s="76" t="n"/>
      <c r="D187" s="109">
        <f t="array" ref="D187:D187">IFERROR(INDEX(GroupLookup,MATCH(C187,CategoryList,0)),"")</f>
        <v/>
      </c>
      <c r="E187" s="112" t="n"/>
      <c r="F187" s="76" t="n"/>
      <c r="G187" s="76" t="n"/>
    </row>
    <row r="188" ht="15.75" customHeight="1" s="52">
      <c r="A188" s="108" t="n"/>
      <c r="B188" s="75" t="n"/>
      <c r="C188" s="75" t="n"/>
      <c r="D188" s="109">
        <f t="array" ref="D188:D188">IFERROR(INDEX(GroupLookup,MATCH(C188,CategoryList,0)),"")</f>
        <v/>
      </c>
      <c r="E188" s="110" t="n"/>
      <c r="F188" s="75" t="n"/>
      <c r="G188" s="75" t="n"/>
    </row>
    <row r="189" ht="15.75" customHeight="1" s="52">
      <c r="A189" s="114" t="n"/>
      <c r="B189" s="76" t="n"/>
      <c r="C189" s="76" t="n"/>
      <c r="D189" s="109">
        <f t="array" ref="D189:D189">IFERROR(INDEX(GroupLookup,MATCH(C189,CategoryList,0)),"")</f>
        <v/>
      </c>
      <c r="E189" s="112" t="n"/>
      <c r="F189" s="76" t="n"/>
      <c r="G189" s="76" t="n"/>
    </row>
    <row r="190" ht="15.75" customHeight="1" s="52">
      <c r="A190" s="108" t="n"/>
      <c r="B190" s="75" t="n"/>
      <c r="C190" s="75" t="n"/>
      <c r="D190" s="109">
        <f t="array" ref="D190:D190">IFERROR(INDEX(GroupLookup,MATCH(C190,CategoryList,0)),"")</f>
        <v/>
      </c>
      <c r="E190" s="110" t="n"/>
      <c r="F190" s="75" t="n"/>
      <c r="G190" s="75" t="n"/>
    </row>
    <row r="191" ht="15.75" customHeight="1" s="52">
      <c r="A191" s="114" t="n"/>
      <c r="B191" s="76" t="n"/>
      <c r="C191" s="76" t="n"/>
      <c r="D191" s="109">
        <f t="array" ref="D191:D191">IFERROR(INDEX(GroupLookup,MATCH(C191,CategoryList,0)),"")</f>
        <v/>
      </c>
      <c r="E191" s="112" t="n"/>
      <c r="F191" s="76" t="n"/>
      <c r="G191" s="76" t="n"/>
    </row>
    <row r="192" ht="15.75" customHeight="1" s="52">
      <c r="A192" s="108" t="n"/>
      <c r="B192" s="75" t="n"/>
      <c r="C192" s="75" t="n"/>
      <c r="D192" s="109">
        <f t="array" ref="D192:D192">IFERROR(INDEX(GroupLookup,MATCH(C192,CategoryList,0)),"")</f>
        <v/>
      </c>
      <c r="E192" s="110" t="n"/>
      <c r="F192" s="75" t="n"/>
      <c r="G192" s="75" t="n"/>
    </row>
    <row r="193" ht="15.75" customHeight="1" s="52">
      <c r="A193" s="114" t="n"/>
      <c r="B193" s="76" t="n"/>
      <c r="C193" s="76" t="n"/>
      <c r="D193" s="109">
        <f t="array" ref="D193:D193">IFERROR(INDEX(GroupLookup,MATCH(C193,CategoryList,0)),"")</f>
        <v/>
      </c>
      <c r="E193" s="112" t="n"/>
      <c r="F193" s="76" t="n"/>
      <c r="G193" s="76" t="n"/>
    </row>
    <row r="194" ht="15.75" customHeight="1" s="52">
      <c r="A194" s="108" t="n"/>
      <c r="B194" s="75" t="n"/>
      <c r="C194" s="75" t="n"/>
      <c r="D194" s="109">
        <f t="array" ref="D194:D194">IFERROR(INDEX(GroupLookup,MATCH(C194,CategoryList,0)),"")</f>
        <v/>
      </c>
      <c r="E194" s="110" t="n"/>
      <c r="F194" s="75" t="n"/>
      <c r="G194" s="75" t="n"/>
    </row>
    <row r="195" ht="15.75" customHeight="1" s="52">
      <c r="A195" s="114" t="n"/>
      <c r="B195" s="76" t="n"/>
      <c r="C195" s="76" t="n"/>
      <c r="D195" s="109">
        <f t="array" ref="D195:D195">IFERROR(INDEX(GroupLookup,MATCH(C195,CategoryList,0)),"")</f>
        <v/>
      </c>
      <c r="E195" s="112" t="n"/>
      <c r="F195" s="76" t="n"/>
      <c r="G195" s="76" t="n"/>
    </row>
    <row r="196" ht="15.75" customHeight="1" s="52">
      <c r="A196" s="108" t="n"/>
      <c r="B196" s="75" t="n"/>
      <c r="C196" s="75" t="n"/>
      <c r="D196" s="109">
        <f t="array" ref="D196:D196">IFERROR(INDEX(GroupLookup,MATCH(C196,CategoryList,0)),"")</f>
        <v/>
      </c>
      <c r="E196" s="110" t="n"/>
      <c r="F196" s="75" t="n"/>
      <c r="G196" s="75" t="n"/>
    </row>
    <row r="197" ht="15.75" customHeight="1" s="52">
      <c r="A197" s="114" t="n"/>
      <c r="B197" s="76" t="n"/>
      <c r="C197" s="76" t="n"/>
      <c r="D197" s="109">
        <f t="array" ref="D197:D197">IFERROR(INDEX(GroupLookup,MATCH(C197,CategoryList,0)),"")</f>
        <v/>
      </c>
      <c r="E197" s="112" t="n"/>
      <c r="F197" s="76" t="n"/>
      <c r="G197" s="76" t="n"/>
    </row>
    <row r="198" ht="15.75" customHeight="1" s="52">
      <c r="A198" s="108" t="n"/>
      <c r="B198" s="75" t="n"/>
      <c r="C198" s="75" t="n"/>
      <c r="D198" s="109">
        <f t="array" ref="D198:D198">IFERROR(INDEX(GroupLookup,MATCH(C198,CategoryList,0)),"")</f>
        <v/>
      </c>
      <c r="E198" s="110" t="n"/>
      <c r="F198" s="75" t="n"/>
      <c r="G198" s="75" t="n"/>
    </row>
    <row r="199" ht="15.75" customHeight="1" s="52">
      <c r="A199" s="114" t="n"/>
      <c r="B199" s="76" t="n"/>
      <c r="C199" s="76" t="n"/>
      <c r="D199" s="109">
        <f t="array" ref="D199:D199">IFERROR(INDEX(GroupLookup,MATCH(C199,CategoryList,0)),"")</f>
        <v/>
      </c>
      <c r="E199" s="112" t="n"/>
      <c r="F199" s="76" t="n"/>
      <c r="G199" s="76" t="n"/>
    </row>
    <row r="200" ht="15.75" customHeight="1" s="52">
      <c r="A200" s="108" t="n"/>
      <c r="B200" s="75" t="n"/>
      <c r="C200" s="75" t="n"/>
      <c r="D200" s="109">
        <f t="array" ref="D200:D200">IFERROR(INDEX(GroupLookup,MATCH(C200,CategoryList,0)),"")</f>
        <v/>
      </c>
      <c r="E200" s="110" t="n"/>
      <c r="F200" s="75" t="n"/>
      <c r="G200" s="75" t="n"/>
    </row>
    <row r="201" ht="15.75" customHeight="1" s="52">
      <c r="A201" s="114" t="n"/>
      <c r="B201" s="76" t="n"/>
      <c r="C201" s="76" t="n"/>
      <c r="D201" s="109">
        <f t="array" ref="D201:D201">IFERROR(INDEX(GroupLookup,MATCH(C201,CategoryList,0)),"")</f>
        <v/>
      </c>
      <c r="E201" s="112" t="n"/>
      <c r="F201" s="76" t="n"/>
      <c r="G201" s="76" t="n"/>
    </row>
    <row r="202" ht="15.75" customHeight="1" s="52">
      <c r="A202" s="108" t="n"/>
      <c r="B202" s="75" t="n"/>
      <c r="C202" s="75" t="n"/>
      <c r="D202" s="109">
        <f t="array" ref="D202:D202">IFERROR(INDEX(GroupLookup,MATCH(C202,CategoryList,0)),"")</f>
        <v/>
      </c>
      <c r="E202" s="110" t="n"/>
      <c r="F202" s="75" t="n"/>
      <c r="G202" s="75" t="n"/>
    </row>
    <row r="203" ht="15.75" customHeight="1" s="52">
      <c r="A203" s="114" t="n"/>
      <c r="B203" s="76" t="n"/>
      <c r="C203" s="76" t="n"/>
      <c r="D203" s="109">
        <f t="array" ref="D203:D203">IFERROR(INDEX(GroupLookup,MATCH(C203,CategoryList,0)),"")</f>
        <v/>
      </c>
      <c r="E203" s="112" t="n"/>
      <c r="F203" s="76" t="n"/>
      <c r="G203" s="76" t="n"/>
    </row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autoFilter ref="A3:G203"/>
  <mergeCells count="12">
    <mergeCell ref="A1:G1"/>
    <mergeCell ref="J20:K20"/>
    <mergeCell ref="I2:K2"/>
    <mergeCell ref="I14:K14"/>
    <mergeCell ref="J16:K16"/>
    <mergeCell ref="J15:K15"/>
    <mergeCell ref="I1:K1"/>
    <mergeCell ref="J18:K18"/>
    <mergeCell ref="J19:K19"/>
    <mergeCell ref="A2:G2"/>
    <mergeCell ref="I21:K21"/>
    <mergeCell ref="J17:K17"/>
  </mergeCells>
  <conditionalFormatting sqref="J13">
    <cfRule type="expression" rank="0" priority="2" equalAverage="0" aboveAverage="0" dxfId="0" text="" percent="0" bottom="0">
      <formula>$J$13&lt;&gt;0</formula>
    </cfRule>
  </conditionalFormatting>
  <conditionalFormatting sqref="A4:G203">
    <cfRule type="expression" rank="0" priority="3" equalAverage="0" aboveAverage="0" dxfId="7" text="" percent="0" bottom="0">
      <formula>AND($E4&gt;0,$D4="")</formula>
    </cfRule>
  </conditionalFormatting>
  <dataValidations count="4">
    <dataValidation sqref="E4:E203" showDropDown="0" showInputMessage="0" showErrorMessage="1" allowBlank="1" errorTitle="পরিমাণ ঋণাত্মক হতে পারে না" error="শুধু শূন্য বা তার বেশি সংখ্যা লিখুন। টাকার চিহ্ন নিজে থেকে বসবে।" type="decimal" errorStyle="stop" operator="greaterThanOrEqual">
      <formula1>0</formula1>
      <formula2>0</formula2>
    </dataValidation>
    <dataValidation sqref="A4:A203" showDropDown="0" showInputMessage="0" showErrorMessage="1" allowBlank="1" errorTitle="তারিখ এই মাসের বাইরে" error="তারিখটি এই শিটের মাসের মধ্যে পড়ছে না। ভুল হলে ঠিক করুন, নয়তো ‘হ্যাঁ’ চেপে রেখে দিন।" type="date" errorStyle="warning" operator="between">
      <formula1>DATE(2026,3,1)</formula1>
      <formula2>DATE(2026,3,31)</formula2>
    </dataValidation>
    <dataValidation sqref="C4:C203" showDropDown="0" showInputMessage="0" showErrorMessage="1" allowBlank="1" errorTitle="খাত তালিকায় নেই" error="ড্রপ-ডাউন থেকে একটি খাত বেছে নিন। তালিকার বাইরের খাত লিখলে ‘গ্রুপ’ কলাম খালি থাকবে এবং খরচটি গ্রুপভিত্তিক হিসাবে ধরা পড়বে না। নতুন খাত দরকার হলে ‘সেটিংস’ শিটে যোগ করুন।" type="list" errorStyle="stop" operator="between">
      <formula1>CategoryList</formula1>
      <formula2>0</formula2>
    </dataValidation>
    <dataValidation sqref="F4:F203" showDropDown="0" showInputMessage="0" showErrorMessage="1" allowBlank="1" errorTitle="পেমেন্ট মাধ্যম তালিকায় নেই" error="ড্রপ-ডাউন থেকে একটি পেমেন্ট মাধ্যম বেছে নিন।" type="list" errorStyle="stop" operator="between">
      <formula1>PaymentList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2E5C99"/>
    <outlinePr summaryBelow="1" summaryRight="1"/>
    <pageSetUpPr fitToPage="0"/>
  </sheetPr>
  <dimension ref="A1:K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3359375" defaultRowHeight="15" zeroHeight="0" outlineLevelRow="0"/>
  <cols>
    <col width="13" customWidth="1" style="51" min="1" max="1"/>
    <col width="34" customWidth="1" style="51" min="2" max="2"/>
    <col width="26" customWidth="1" style="51" min="3" max="3"/>
    <col width="24" customWidth="1" style="51" min="4" max="4"/>
    <col width="15" customWidth="1" style="51" min="5" max="5"/>
    <col width="20" customWidth="1" style="51" min="6" max="6"/>
    <col width="26" customWidth="1" style="51" min="7" max="7"/>
    <col width="3" customWidth="1" style="51" min="8" max="8"/>
    <col width="30" customWidth="1" style="51" min="9" max="9"/>
    <col width="17" customWidth="1" style="51" min="10" max="10"/>
    <col width="12" customWidth="1" style="51" min="11" max="11"/>
    <col width="8.710000000000001" customWidth="1" style="51" min="12" max="26"/>
  </cols>
  <sheetData>
    <row r="1" ht="25.5" customHeight="1" s="52">
      <c r="A1" s="104" t="inlineStr">
        <is>
          <t>দৈনিক খরচের হিসাব  —  এপ্রিল ২০২৬</t>
        </is>
      </c>
      <c r="I1" s="105" t="inlineStr">
        <is>
          <t>মাসিক সারসংক্ষেপ</t>
        </is>
      </c>
    </row>
    <row r="2" ht="15.75" customHeight="1" s="52">
      <c r="A2" s="59" t="inlineStr">
        <is>
          <t>শুধু  তারিখ · বিবরণ · খাত · পরিমাণ · পেমেন্ট মাধ্যম · মন্তব্য  ঘরগুলো পূরণ করুন। ‘গ্রুপ’ কলাম স্বয়ংক্রিয়ভাবে পূরণ হবে।</t>
        </is>
      </c>
      <c r="I2" s="106" t="n"/>
    </row>
    <row r="3" ht="21.75" customHeight="1" s="52">
      <c r="A3" s="107" t="inlineStr">
        <is>
          <t>তারিখ</t>
        </is>
      </c>
      <c r="B3" s="107" t="inlineStr">
        <is>
          <t>বিবরণ</t>
        </is>
      </c>
      <c r="C3" s="107" t="inlineStr">
        <is>
          <t>খাত</t>
        </is>
      </c>
      <c r="D3" s="107" t="inlineStr">
        <is>
          <t>গ্রুপ</t>
        </is>
      </c>
      <c r="E3" s="107" t="inlineStr">
        <is>
          <t>পরিমাণ (৳)</t>
        </is>
      </c>
      <c r="F3" s="107" t="inlineStr">
        <is>
          <t>পেমেন্ট মাধ্যম</t>
        </is>
      </c>
      <c r="G3" s="107" t="inlineStr">
        <is>
          <t>মন্তব্য</t>
        </is>
      </c>
      <c r="I3" s="100" t="inlineStr">
        <is>
          <t>গ্রুপ (প্রধান খাত)</t>
        </is>
      </c>
      <c r="J3" s="100" t="inlineStr">
        <is>
          <t>মোট (৳)</t>
        </is>
      </c>
      <c r="K3" s="100" t="inlineStr">
        <is>
          <t>শতাংশ</t>
        </is>
      </c>
    </row>
    <row r="4" ht="15" customHeight="1" s="52">
      <c r="A4" s="108" t="n"/>
      <c r="B4" s="75" t="n"/>
      <c r="C4" s="75" t="n"/>
      <c r="D4" s="109">
        <f t="array" ref="D4:D4">IFERROR(INDEX(GroupLookup,MATCH(C4,CategoryList,0)),"")</f>
        <v/>
      </c>
      <c r="E4" s="110" t="n"/>
      <c r="F4" s="75" t="n"/>
      <c r="G4" s="75" t="n"/>
      <c r="I4" s="75" t="inlineStr">
        <is>
          <t>খাদ্য ও মুদি</t>
        </is>
      </c>
      <c r="J4" s="110">
        <f>SUMIF($D$4:$D$203,$I4,$E$4:$E$203)</f>
        <v/>
      </c>
      <c r="K4" s="111">
        <f>IFERROR($J4/$J$12,0)</f>
        <v/>
      </c>
    </row>
    <row r="5" ht="15" customHeight="1" s="52">
      <c r="A5" s="114" t="n"/>
      <c r="B5" s="76" t="n"/>
      <c r="C5" s="76" t="n"/>
      <c r="D5" s="109">
        <f t="array" ref="D5:D5">IFERROR(INDEX(GroupLookup,MATCH(C5,CategoryList,0)),"")</f>
        <v/>
      </c>
      <c r="E5" s="112" t="n"/>
      <c r="F5" s="76" t="n"/>
      <c r="G5" s="76" t="n"/>
      <c r="I5" s="76" t="inlineStr">
        <is>
          <t>বাসস্থান</t>
        </is>
      </c>
      <c r="J5" s="112">
        <f>SUMIF($D$4:$D$203,$I5,$E$4:$E$203)</f>
        <v/>
      </c>
      <c r="K5" s="113">
        <f>IFERROR($J5/$J$12,0)</f>
        <v/>
      </c>
    </row>
    <row r="6" ht="15" customHeight="1" s="52">
      <c r="A6" s="108" t="n"/>
      <c r="B6" s="75" t="n"/>
      <c r="C6" s="75" t="n"/>
      <c r="D6" s="109">
        <f t="array" ref="D6:D6">IFERROR(INDEX(GroupLookup,MATCH(C6,CategoryList,0)),"")</f>
        <v/>
      </c>
      <c r="E6" s="110" t="n"/>
      <c r="F6" s="75" t="n"/>
      <c r="G6" s="75" t="n"/>
      <c r="I6" s="75" t="inlineStr">
        <is>
          <t>ইউটিলিটি বিল</t>
        </is>
      </c>
      <c r="J6" s="110">
        <f>SUMIF($D$4:$D$203,$I6,$E$4:$E$203)</f>
        <v/>
      </c>
      <c r="K6" s="111">
        <f>IFERROR($J6/$J$12,0)</f>
        <v/>
      </c>
    </row>
    <row r="7" ht="15" customHeight="1" s="52">
      <c r="A7" s="114" t="n"/>
      <c r="B7" s="76" t="n"/>
      <c r="C7" s="76" t="n"/>
      <c r="D7" s="109">
        <f t="array" ref="D7:D7">IFERROR(INDEX(GroupLookup,MATCH(C7,CategoryList,0)),"")</f>
        <v/>
      </c>
      <c r="E7" s="112" t="n"/>
      <c r="F7" s="76" t="n"/>
      <c r="G7" s="76" t="n"/>
      <c r="I7" s="76" t="inlineStr">
        <is>
          <t>যাতায়াত</t>
        </is>
      </c>
      <c r="J7" s="112">
        <f>SUMIF($D$4:$D$203,$I7,$E$4:$E$203)</f>
        <v/>
      </c>
      <c r="K7" s="113">
        <f>IFERROR($J7/$J$12,0)</f>
        <v/>
      </c>
    </row>
    <row r="8" ht="15" customHeight="1" s="52">
      <c r="A8" s="108" t="n"/>
      <c r="B8" s="75" t="n"/>
      <c r="C8" s="75" t="n"/>
      <c r="D8" s="109">
        <f t="array" ref="D8:D8">IFERROR(INDEX(GroupLookup,MATCH(C8,CategoryList,0)),"")</f>
        <v/>
      </c>
      <c r="E8" s="110" t="n"/>
      <c r="F8" s="75" t="n"/>
      <c r="G8" s="75" t="n"/>
      <c r="I8" s="75" t="inlineStr">
        <is>
          <t>স্বাস্থ্য</t>
        </is>
      </c>
      <c r="J8" s="110">
        <f>SUMIF($D$4:$D$203,$I8,$E$4:$E$203)</f>
        <v/>
      </c>
      <c r="K8" s="111">
        <f>IFERROR($J8/$J$12,0)</f>
        <v/>
      </c>
    </row>
    <row r="9" ht="15" customHeight="1" s="52">
      <c r="A9" s="114" t="n"/>
      <c r="B9" s="76" t="n"/>
      <c r="C9" s="76" t="n"/>
      <c r="D9" s="109">
        <f t="array" ref="D9:D9">IFERROR(INDEX(GroupLookup,MATCH(C9,CategoryList,0)),"")</f>
        <v/>
      </c>
      <c r="E9" s="112" t="n"/>
      <c r="F9" s="76" t="n"/>
      <c r="G9" s="76" t="n"/>
      <c r="I9" s="76" t="inlineStr">
        <is>
          <t>শিক্ষা</t>
        </is>
      </c>
      <c r="J9" s="112">
        <f>SUMIF($D$4:$D$203,$I9,$E$4:$E$203)</f>
        <v/>
      </c>
      <c r="K9" s="113">
        <f>IFERROR($J9/$J$12,0)</f>
        <v/>
      </c>
    </row>
    <row r="10" ht="15" customHeight="1" s="52">
      <c r="A10" s="108" t="n"/>
      <c r="B10" s="75" t="n"/>
      <c r="C10" s="75" t="n"/>
      <c r="D10" s="109">
        <f t="array" ref="D10:D10">IFERROR(INDEX(GroupLookup,MATCH(C10,CategoryList,0)),"")</f>
        <v/>
      </c>
      <c r="E10" s="110" t="n"/>
      <c r="F10" s="75" t="n"/>
      <c r="G10" s="75" t="n"/>
      <c r="I10" s="75" t="inlineStr">
        <is>
          <t>ব্যক্তিগত ও গৃহস্থালি</t>
        </is>
      </c>
      <c r="J10" s="110">
        <f>SUMIF($D$4:$D$203,$I10,$E$4:$E$203)</f>
        <v/>
      </c>
      <c r="K10" s="111">
        <f>IFERROR($J10/$J$12,0)</f>
        <v/>
      </c>
    </row>
    <row r="11" ht="15" customHeight="1" s="52">
      <c r="A11" s="114" t="n"/>
      <c r="B11" s="76" t="n"/>
      <c r="C11" s="76" t="n"/>
      <c r="D11" s="109">
        <f t="array" ref="D11:D11">IFERROR(INDEX(GroupLookup,MATCH(C11,CategoryList,0)),"")</f>
        <v/>
      </c>
      <c r="E11" s="112" t="n"/>
      <c r="F11" s="76" t="n"/>
      <c r="G11" s="76" t="n"/>
      <c r="I11" s="76" t="inlineStr">
        <is>
          <t>অন্যান্য</t>
        </is>
      </c>
      <c r="J11" s="112">
        <f>SUMIF($D$4:$D$203,$I11,$E$4:$E$203)</f>
        <v/>
      </c>
      <c r="K11" s="113">
        <f>IFERROR($J11/$J$12,0)</f>
        <v/>
      </c>
    </row>
    <row r="12" ht="15" customHeight="1" s="52">
      <c r="A12" s="108" t="n"/>
      <c r="B12" s="75" t="n"/>
      <c r="C12" s="75" t="n"/>
      <c r="D12" s="109">
        <f t="array" ref="D12:D12">IFERROR(INDEX(GroupLookup,MATCH(C12,CategoryList,0)),"")</f>
        <v/>
      </c>
      <c r="E12" s="110" t="n"/>
      <c r="F12" s="75" t="n"/>
      <c r="G12" s="75" t="n"/>
      <c r="I12" s="72" t="inlineStr">
        <is>
          <t>মোট মাসিক ব্যয়</t>
        </is>
      </c>
      <c r="J12" s="117">
        <f>SUM($E$4:$E$203)</f>
        <v/>
      </c>
      <c r="K12" s="118">
        <f>IFERROR($J$12/$J$12,0)</f>
        <v/>
      </c>
    </row>
    <row r="13" ht="15" customHeight="1" s="52">
      <c r="A13" s="114" t="n"/>
      <c r="B13" s="76" t="n"/>
      <c r="C13" s="76" t="n"/>
      <c r="D13" s="109">
        <f t="array" ref="D13:D13">IFERROR(INDEX(GroupLookup,MATCH(C13,CategoryList,0)),"")</f>
        <v/>
      </c>
      <c r="E13" s="112" t="n"/>
      <c r="F13" s="76" t="n"/>
      <c r="G13" s="76" t="n"/>
      <c r="I13" s="74" t="inlineStr">
        <is>
          <t>শ্রেণিবিন্যাসহীন (খাত তালিকায় নেই)</t>
        </is>
      </c>
      <c r="J13" s="117">
        <f>$J$12-SUM($J$4:$J$11)</f>
        <v/>
      </c>
      <c r="K13" s="118">
        <f>IFERROR($J13/$J$12,0)</f>
        <v/>
      </c>
    </row>
    <row r="14" ht="25.5" customHeight="1" s="52">
      <c r="A14" s="108" t="n"/>
      <c r="B14" s="75" t="n"/>
      <c r="C14" s="75" t="n"/>
      <c r="D14" s="109">
        <f t="array" ref="D14:D14">IFERROR(INDEX(GroupLookup,MATCH(C14,CategoryList,0)),"")</f>
        <v/>
      </c>
      <c r="E14" s="110" t="n"/>
      <c r="F14" s="75" t="n"/>
      <c r="G14" s="75" t="n"/>
      <c r="I14" s="119" t="inlineStr">
        <is>
          <t>গুরুত্বপূর্ণ তথ্য</t>
        </is>
      </c>
    </row>
    <row r="15" ht="15" customHeight="1" s="52">
      <c r="A15" s="114" t="n"/>
      <c r="B15" s="76" t="n"/>
      <c r="C15" s="76" t="n"/>
      <c r="D15" s="109">
        <f t="array" ref="D15:D15">IFERROR(INDEX(GroupLookup,MATCH(C15,CategoryList,0)),"")</f>
        <v/>
      </c>
      <c r="E15" s="112" t="n"/>
      <c r="F15" s="76" t="n"/>
      <c r="G15" s="76" t="n"/>
      <c r="I15" s="67" t="inlineStr">
        <is>
          <t>মোট লেনদেন সংখ্যা</t>
        </is>
      </c>
      <c r="J15" s="120">
        <f>COUNT($E$4:$E$203)</f>
        <v/>
      </c>
      <c r="K15" s="62" t="n"/>
    </row>
    <row r="16" ht="15" customHeight="1" s="52">
      <c r="A16" s="108" t="n"/>
      <c r="B16" s="75" t="n"/>
      <c r="C16" s="75" t="n"/>
      <c r="D16" s="109">
        <f t="array" ref="D16:D16">IFERROR(INDEX(GroupLookup,MATCH(C16,CategoryList,0)),"")</f>
        <v/>
      </c>
      <c r="E16" s="110" t="n"/>
      <c r="F16" s="75" t="n"/>
      <c r="G16" s="75" t="n"/>
      <c r="I16" s="70" t="inlineStr">
        <is>
          <t>দৈনিক গড় খরচ</t>
        </is>
      </c>
      <c r="J16" s="121">
        <f>IFERROR($J$12/30,0)</f>
        <v/>
      </c>
      <c r="K16" s="62" t="n"/>
    </row>
    <row r="17" ht="15" customHeight="1" s="52">
      <c r="A17" s="114" t="n"/>
      <c r="B17" s="76" t="n"/>
      <c r="C17" s="76" t="n"/>
      <c r="D17" s="109">
        <f t="array" ref="D17:D17">IFERROR(INDEX(GroupLookup,MATCH(C17,CategoryList,0)),"")</f>
        <v/>
      </c>
      <c r="E17" s="112" t="n"/>
      <c r="F17" s="76" t="n"/>
      <c r="G17" s="76" t="n"/>
      <c r="I17" s="67" t="inlineStr">
        <is>
          <t>প্রতি লেনদেনে গড়</t>
        </is>
      </c>
      <c r="J17" s="122">
        <f>IFERROR($J$12/COUNT($E$4:$E$203),0)</f>
        <v/>
      </c>
      <c r="K17" s="62" t="n"/>
    </row>
    <row r="18" ht="15" customHeight="1" s="52">
      <c r="A18" s="108" t="n"/>
      <c r="B18" s="75" t="n"/>
      <c r="C18" s="75" t="n"/>
      <c r="D18" s="109">
        <f t="array" ref="D18:D18">IFERROR(INDEX(GroupLookup,MATCH(C18,CategoryList,0)),"")</f>
        <v/>
      </c>
      <c r="E18" s="110" t="n"/>
      <c r="F18" s="75" t="n"/>
      <c r="G18" s="75" t="n"/>
      <c r="I18" s="70" t="inlineStr">
        <is>
          <t>সর্বোচ্চ একক খরচ</t>
        </is>
      </c>
      <c r="J18" s="121">
        <f>IFERROR(MAX($E$4:$E$203),0)</f>
        <v/>
      </c>
      <c r="K18" s="62" t="n"/>
    </row>
    <row r="19" ht="15" customHeight="1" s="52">
      <c r="A19" s="114" t="n"/>
      <c r="B19" s="76" t="n"/>
      <c r="C19" s="76" t="n"/>
      <c r="D19" s="109">
        <f t="array" ref="D19:D19">IFERROR(INDEX(GroupLookup,MATCH(C19,CategoryList,0)),"")</f>
        <v/>
      </c>
      <c r="E19" s="112" t="n"/>
      <c r="F19" s="76" t="n"/>
      <c r="G19" s="76" t="n"/>
      <c r="I19" s="67" t="inlineStr">
        <is>
          <t>সর্বোচ্চ ব্যয়ের গ্রুপ</t>
        </is>
      </c>
      <c r="J19" s="123">
        <f t="array" ref="J19:J19">IF($J$12=0,"–",IFERROR(INDEX($I$4:$I$11,MATCH(MAX($J$4:$J$11),$J$4:$J$11,0)),"–"))</f>
        <v/>
      </c>
      <c r="K19" s="62" t="n"/>
    </row>
    <row r="20" ht="15" customHeight="1" s="52">
      <c r="A20" s="108" t="n"/>
      <c r="B20" s="75" t="n"/>
      <c r="C20" s="75" t="n"/>
      <c r="D20" s="109">
        <f t="array" ref="D20:D20">IFERROR(INDEX(GroupLookup,MATCH(C20,CategoryList,0)),"")</f>
        <v/>
      </c>
      <c r="E20" s="110" t="n"/>
      <c r="F20" s="75" t="n"/>
      <c r="G20" s="75" t="n"/>
      <c r="I20" s="70" t="inlineStr">
        <is>
          <t>সর্বোচ্চ ব্যয়ের খাত</t>
        </is>
      </c>
      <c r="J20" s="124">
        <f t="array" ref="J20:J20">IF($J$12=0,"–",IFERROR(INDEX($I$23:$I$76,MATCH(MAX($J$23:$J$76),$J$23:$J$76,0)),"–"))</f>
        <v/>
      </c>
      <c r="K20" s="62" t="n"/>
    </row>
    <row r="21" ht="25.5" customHeight="1" s="52">
      <c r="A21" s="114" t="n"/>
      <c r="B21" s="76" t="n"/>
      <c r="C21" s="76" t="n"/>
      <c r="D21" s="109">
        <f t="array" ref="D21:D21">IFERROR(INDEX(GroupLookup,MATCH(C21,CategoryList,0)),"")</f>
        <v/>
      </c>
      <c r="E21" s="112" t="n"/>
      <c r="F21" s="76" t="n"/>
      <c r="G21" s="76" t="n"/>
      <c r="I21" s="119" t="inlineStr">
        <is>
          <t>খাতভিত্তিক বিস্তারিত</t>
        </is>
      </c>
    </row>
    <row r="22" ht="15.75" customHeight="1" s="52">
      <c r="A22" s="108" t="n"/>
      <c r="B22" s="75" t="n"/>
      <c r="C22" s="75" t="n"/>
      <c r="D22" s="109">
        <f t="array" ref="D22:D22">IFERROR(INDEX(GroupLookup,MATCH(C22,CategoryList,0)),"")</f>
        <v/>
      </c>
      <c r="E22" s="110" t="n"/>
      <c r="F22" s="75" t="n"/>
      <c r="G22" s="75" t="n"/>
      <c r="I22" s="100" t="inlineStr">
        <is>
          <t>খাত</t>
        </is>
      </c>
      <c r="J22" s="100" t="inlineStr">
        <is>
          <t>মোট (৳)</t>
        </is>
      </c>
      <c r="K22" s="100" t="inlineStr">
        <is>
          <t>শতাংশ</t>
        </is>
      </c>
    </row>
    <row r="23" ht="15.75" customHeight="1" s="52">
      <c r="A23" s="114" t="n"/>
      <c r="B23" s="76" t="n"/>
      <c r="C23" s="76" t="n"/>
      <c r="D23" s="109">
        <f t="array" ref="D23:D23">IFERROR(INDEX(GroupLookup,MATCH(C23,CategoryList,0)),"")</f>
        <v/>
      </c>
      <c r="E23" s="112" t="n"/>
      <c r="F23" s="76" t="n"/>
      <c r="G23" s="76" t="n"/>
      <c r="I23" s="75" t="inlineStr">
        <is>
          <t>চাল</t>
        </is>
      </c>
      <c r="J23" s="110">
        <f>SUMIF($C$4:$C$203,$I23,$E$4:$E$203)</f>
        <v/>
      </c>
      <c r="K23" s="111">
        <f>IFERROR($J23/$J$12,0)</f>
        <v/>
      </c>
    </row>
    <row r="24" ht="15.75" customHeight="1" s="52">
      <c r="A24" s="108" t="n"/>
      <c r="B24" s="75" t="n"/>
      <c r="C24" s="75" t="n"/>
      <c r="D24" s="109">
        <f t="array" ref="D24:D24">IFERROR(INDEX(GroupLookup,MATCH(C24,CategoryList,0)),"")</f>
        <v/>
      </c>
      <c r="E24" s="110" t="n"/>
      <c r="F24" s="75" t="n"/>
      <c r="G24" s="75" t="n"/>
      <c r="I24" s="76" t="inlineStr">
        <is>
          <t>আটা ও ময়দা</t>
        </is>
      </c>
      <c r="J24" s="112">
        <f>SUMIF($C$4:$C$203,$I24,$E$4:$E$203)</f>
        <v/>
      </c>
      <c r="K24" s="113">
        <f>IFERROR($J24/$J$12,0)</f>
        <v/>
      </c>
    </row>
    <row r="25" ht="15.75" customHeight="1" s="52">
      <c r="A25" s="114" t="n"/>
      <c r="B25" s="76" t="n"/>
      <c r="C25" s="76" t="n"/>
      <c r="D25" s="109">
        <f t="array" ref="D25:D25">IFERROR(INDEX(GroupLookup,MATCH(C25,CategoryList,0)),"")</f>
        <v/>
      </c>
      <c r="E25" s="112" t="n"/>
      <c r="F25" s="76" t="n"/>
      <c r="G25" s="76" t="n"/>
      <c r="I25" s="75" t="inlineStr">
        <is>
          <t>ডাল</t>
        </is>
      </c>
      <c r="J25" s="110">
        <f>SUMIF($C$4:$C$203,$I25,$E$4:$E$203)</f>
        <v/>
      </c>
      <c r="K25" s="111">
        <f>IFERROR($J25/$J$12,0)</f>
        <v/>
      </c>
    </row>
    <row r="26" ht="15.75" customHeight="1" s="52">
      <c r="A26" s="108" t="n"/>
      <c r="B26" s="75" t="n"/>
      <c r="C26" s="75" t="n"/>
      <c r="D26" s="109">
        <f t="array" ref="D26:D26">IFERROR(INDEX(GroupLookup,MATCH(C26,CategoryList,0)),"")</f>
        <v/>
      </c>
      <c r="E26" s="110" t="n"/>
      <c r="F26" s="75" t="n"/>
      <c r="G26" s="75" t="n"/>
      <c r="I26" s="76" t="inlineStr">
        <is>
          <t>মাছ</t>
        </is>
      </c>
      <c r="J26" s="112">
        <f>SUMIF($C$4:$C$203,$I26,$E$4:$E$203)</f>
        <v/>
      </c>
      <c r="K26" s="113">
        <f>IFERROR($J26/$J$12,0)</f>
        <v/>
      </c>
    </row>
    <row r="27" ht="15.75" customHeight="1" s="52">
      <c r="A27" s="114" t="n"/>
      <c r="B27" s="76" t="n"/>
      <c r="C27" s="76" t="n"/>
      <c r="D27" s="109">
        <f t="array" ref="D27:D27">IFERROR(INDEX(GroupLookup,MATCH(C27,CategoryList,0)),"")</f>
        <v/>
      </c>
      <c r="E27" s="112" t="n"/>
      <c r="F27" s="76" t="n"/>
      <c r="G27" s="76" t="n"/>
      <c r="I27" s="75" t="inlineStr">
        <is>
          <t>মাংস</t>
        </is>
      </c>
      <c r="J27" s="110">
        <f>SUMIF($C$4:$C$203,$I27,$E$4:$E$203)</f>
        <v/>
      </c>
      <c r="K27" s="111">
        <f>IFERROR($J27/$J$12,0)</f>
        <v/>
      </c>
    </row>
    <row r="28" ht="15.75" customHeight="1" s="52">
      <c r="A28" s="108" t="n"/>
      <c r="B28" s="75" t="n"/>
      <c r="C28" s="75" t="n"/>
      <c r="D28" s="109">
        <f t="array" ref="D28:D28">IFERROR(INDEX(GroupLookup,MATCH(C28,CategoryList,0)),"")</f>
        <v/>
      </c>
      <c r="E28" s="110" t="n"/>
      <c r="F28" s="75" t="n"/>
      <c r="G28" s="75" t="n"/>
      <c r="I28" s="76" t="inlineStr">
        <is>
          <t>ডিম</t>
        </is>
      </c>
      <c r="J28" s="112">
        <f>SUMIF($C$4:$C$203,$I28,$E$4:$E$203)</f>
        <v/>
      </c>
      <c r="K28" s="113">
        <f>IFERROR($J28/$J$12,0)</f>
        <v/>
      </c>
    </row>
    <row r="29" ht="15.75" customHeight="1" s="52">
      <c r="A29" s="114" t="n"/>
      <c r="B29" s="76" t="n"/>
      <c r="C29" s="76" t="n"/>
      <c r="D29" s="109">
        <f t="array" ref="D29:D29">IFERROR(INDEX(GroupLookup,MATCH(C29,CategoryList,0)),"")</f>
        <v/>
      </c>
      <c r="E29" s="112" t="n"/>
      <c r="F29" s="76" t="n"/>
      <c r="G29" s="76" t="n"/>
      <c r="I29" s="75" t="inlineStr">
        <is>
          <t>দুধ ও দুগ্ধজাত পণ্য</t>
        </is>
      </c>
      <c r="J29" s="110">
        <f>SUMIF($C$4:$C$203,$I29,$E$4:$E$203)</f>
        <v/>
      </c>
      <c r="K29" s="111">
        <f>IFERROR($J29/$J$12,0)</f>
        <v/>
      </c>
    </row>
    <row r="30" ht="15.75" customHeight="1" s="52">
      <c r="A30" s="108" t="n"/>
      <c r="B30" s="75" t="n"/>
      <c r="C30" s="75" t="n"/>
      <c r="D30" s="109">
        <f t="array" ref="D30:D30">IFERROR(INDEX(GroupLookup,MATCH(C30,CategoryList,0)),"")</f>
        <v/>
      </c>
      <c r="E30" s="110" t="n"/>
      <c r="F30" s="75" t="n"/>
      <c r="G30" s="75" t="n"/>
      <c r="I30" s="76" t="inlineStr">
        <is>
          <t>ভোজ্য তেল</t>
        </is>
      </c>
      <c r="J30" s="112">
        <f>SUMIF($C$4:$C$203,$I30,$E$4:$E$203)</f>
        <v/>
      </c>
      <c r="K30" s="113">
        <f>IFERROR($J30/$J$12,0)</f>
        <v/>
      </c>
    </row>
    <row r="31" ht="15.75" customHeight="1" s="52">
      <c r="A31" s="114" t="n"/>
      <c r="B31" s="76" t="n"/>
      <c r="C31" s="76" t="n"/>
      <c r="D31" s="109">
        <f t="array" ref="D31:D31">IFERROR(INDEX(GroupLookup,MATCH(C31,CategoryList,0)),"")</f>
        <v/>
      </c>
      <c r="E31" s="112" t="n"/>
      <c r="F31" s="76" t="n"/>
      <c r="G31" s="76" t="n"/>
      <c r="I31" s="75" t="inlineStr">
        <is>
          <t>শাক-সবজি</t>
        </is>
      </c>
      <c r="J31" s="110">
        <f>SUMIF($C$4:$C$203,$I31,$E$4:$E$203)</f>
        <v/>
      </c>
      <c r="K31" s="111">
        <f>IFERROR($J31/$J$12,0)</f>
        <v/>
      </c>
    </row>
    <row r="32" ht="15.75" customHeight="1" s="52">
      <c r="A32" s="108" t="n"/>
      <c r="B32" s="75" t="n"/>
      <c r="C32" s="75" t="n"/>
      <c r="D32" s="109">
        <f t="array" ref="D32:D32">IFERROR(INDEX(GroupLookup,MATCH(C32,CategoryList,0)),"")</f>
        <v/>
      </c>
      <c r="E32" s="110" t="n"/>
      <c r="F32" s="75" t="n"/>
      <c r="G32" s="75" t="n"/>
      <c r="I32" s="76" t="inlineStr">
        <is>
          <t>ফলমূল</t>
        </is>
      </c>
      <c r="J32" s="112">
        <f>SUMIF($C$4:$C$203,$I32,$E$4:$E$203)</f>
        <v/>
      </c>
      <c r="K32" s="113">
        <f>IFERROR($J32/$J$12,0)</f>
        <v/>
      </c>
    </row>
    <row r="33" ht="15.75" customHeight="1" s="52">
      <c r="A33" s="114" t="n"/>
      <c r="B33" s="76" t="n"/>
      <c r="C33" s="76" t="n"/>
      <c r="D33" s="109">
        <f t="array" ref="D33:D33">IFERROR(INDEX(GroupLookup,MATCH(C33,CategoryList,0)),"")</f>
        <v/>
      </c>
      <c r="E33" s="112" t="n"/>
      <c r="F33" s="76" t="n"/>
      <c r="G33" s="76" t="n"/>
      <c r="I33" s="75" t="inlineStr">
        <is>
          <t>মসলা</t>
        </is>
      </c>
      <c r="J33" s="110">
        <f>SUMIF($C$4:$C$203,$I33,$E$4:$E$203)</f>
        <v/>
      </c>
      <c r="K33" s="111">
        <f>IFERROR($J33/$J$12,0)</f>
        <v/>
      </c>
    </row>
    <row r="34" ht="15.75" customHeight="1" s="52">
      <c r="A34" s="108" t="n"/>
      <c r="B34" s="75" t="n"/>
      <c r="C34" s="75" t="n"/>
      <c r="D34" s="109">
        <f t="array" ref="D34:D34">IFERROR(INDEX(GroupLookup,MATCH(C34,CategoryList,0)),"")</f>
        <v/>
      </c>
      <c r="E34" s="110" t="n"/>
      <c r="F34" s="75" t="n"/>
      <c r="G34" s="75" t="n"/>
      <c r="I34" s="76" t="inlineStr">
        <is>
          <t>চিনি ও লবণ</t>
        </is>
      </c>
      <c r="J34" s="112">
        <f>SUMIF($C$4:$C$203,$I34,$E$4:$E$203)</f>
        <v/>
      </c>
      <c r="K34" s="113">
        <f>IFERROR($J34/$J$12,0)</f>
        <v/>
      </c>
    </row>
    <row r="35" ht="15.75" customHeight="1" s="52">
      <c r="A35" s="114" t="n"/>
      <c r="B35" s="76" t="n"/>
      <c r="C35" s="76" t="n"/>
      <c r="D35" s="109">
        <f t="array" ref="D35:D35">IFERROR(INDEX(GroupLookup,MATCH(C35,CategoryList,0)),"")</f>
        <v/>
      </c>
      <c r="E35" s="112" t="n"/>
      <c r="F35" s="76" t="n"/>
      <c r="G35" s="76" t="n"/>
      <c r="I35" s="75" t="inlineStr">
        <is>
          <t>চা ও কফি</t>
        </is>
      </c>
      <c r="J35" s="110">
        <f>SUMIF($C$4:$C$203,$I35,$E$4:$E$203)</f>
        <v/>
      </c>
      <c r="K35" s="111">
        <f>IFERROR($J35/$J$12,0)</f>
        <v/>
      </c>
    </row>
    <row r="36" ht="15.75" customHeight="1" s="52">
      <c r="A36" s="108" t="n"/>
      <c r="B36" s="75" t="n"/>
      <c r="C36" s="75" t="n"/>
      <c r="D36" s="109">
        <f t="array" ref="D36:D36">IFERROR(INDEX(GroupLookup,MATCH(C36,CategoryList,0)),"")</f>
        <v/>
      </c>
      <c r="E36" s="110" t="n"/>
      <c r="F36" s="75" t="n"/>
      <c r="G36" s="75" t="n"/>
      <c r="I36" s="76" t="inlineStr">
        <is>
          <t>নাশতা ও বেকারি</t>
        </is>
      </c>
      <c r="J36" s="112">
        <f>SUMIF($C$4:$C$203,$I36,$E$4:$E$203)</f>
        <v/>
      </c>
      <c r="K36" s="113">
        <f>IFERROR($J36/$J$12,0)</f>
        <v/>
      </c>
    </row>
    <row r="37" ht="15.75" customHeight="1" s="52">
      <c r="A37" s="114" t="n"/>
      <c r="B37" s="76" t="n"/>
      <c r="C37" s="76" t="n"/>
      <c r="D37" s="109">
        <f t="array" ref="D37:D37">IFERROR(INDEX(GroupLookup,MATCH(C37,CategoryList,0)),"")</f>
        <v/>
      </c>
      <c r="E37" s="112" t="n"/>
      <c r="F37" s="76" t="n"/>
      <c r="G37" s="76" t="n"/>
      <c r="I37" s="75" t="inlineStr">
        <is>
          <t>বাইরে খাওয়া / রেস্তোরাঁ</t>
        </is>
      </c>
      <c r="J37" s="110">
        <f>SUMIF($C$4:$C$203,$I37,$E$4:$E$203)</f>
        <v/>
      </c>
      <c r="K37" s="111">
        <f>IFERROR($J37/$J$12,0)</f>
        <v/>
      </c>
    </row>
    <row r="38" ht="15.75" customHeight="1" s="52">
      <c r="A38" s="108" t="n"/>
      <c r="B38" s="75" t="n"/>
      <c r="C38" s="75" t="n"/>
      <c r="D38" s="109">
        <f t="array" ref="D38:D38">IFERROR(INDEX(GroupLookup,MATCH(C38,CategoryList,0)),"")</f>
        <v/>
      </c>
      <c r="E38" s="110" t="n"/>
      <c r="F38" s="75" t="n"/>
      <c r="G38" s="75" t="n"/>
      <c r="I38" s="76" t="inlineStr">
        <is>
          <t>বাড়ি ভাড়া</t>
        </is>
      </c>
      <c r="J38" s="112">
        <f>SUMIF($C$4:$C$203,$I38,$E$4:$E$203)</f>
        <v/>
      </c>
      <c r="K38" s="113">
        <f>IFERROR($J38/$J$12,0)</f>
        <v/>
      </c>
    </row>
    <row r="39" ht="15.75" customHeight="1" s="52">
      <c r="A39" s="114" t="n"/>
      <c r="B39" s="76" t="n"/>
      <c r="C39" s="76" t="n"/>
      <c r="D39" s="109">
        <f t="array" ref="D39:D39">IFERROR(INDEX(GroupLookup,MATCH(C39,CategoryList,0)),"")</f>
        <v/>
      </c>
      <c r="E39" s="112" t="n"/>
      <c r="F39" s="76" t="n"/>
      <c r="G39" s="76" t="n"/>
      <c r="I39" s="75" t="inlineStr">
        <is>
          <t>সার্ভিস চার্জ</t>
        </is>
      </c>
      <c r="J39" s="110">
        <f>SUMIF($C$4:$C$203,$I39,$E$4:$E$203)</f>
        <v/>
      </c>
      <c r="K39" s="111">
        <f>IFERROR($J39/$J$12,0)</f>
        <v/>
      </c>
    </row>
    <row r="40" ht="15.75" customHeight="1" s="52">
      <c r="A40" s="108" t="n"/>
      <c r="B40" s="75" t="n"/>
      <c r="C40" s="75" t="n"/>
      <c r="D40" s="109">
        <f t="array" ref="D40:D40">IFERROR(INDEX(GroupLookup,MATCH(C40,CategoryList,0)),"")</f>
        <v/>
      </c>
      <c r="E40" s="110" t="n"/>
      <c r="F40" s="75" t="n"/>
      <c r="G40" s="75" t="n"/>
      <c r="I40" s="76" t="inlineStr">
        <is>
          <t>বাড়ি মেরামত ও রক্ষণাবেক্ষণ</t>
        </is>
      </c>
      <c r="J40" s="112">
        <f>SUMIF($C$4:$C$203,$I40,$E$4:$E$203)</f>
        <v/>
      </c>
      <c r="K40" s="113">
        <f>IFERROR($J40/$J$12,0)</f>
        <v/>
      </c>
    </row>
    <row r="41" ht="15.75" customHeight="1" s="52">
      <c r="A41" s="114" t="n"/>
      <c r="B41" s="76" t="n"/>
      <c r="C41" s="76" t="n"/>
      <c r="D41" s="109">
        <f t="array" ref="D41:D41">IFERROR(INDEX(GroupLookup,MATCH(C41,CategoryList,0)),"")</f>
        <v/>
      </c>
      <c r="E41" s="112" t="n"/>
      <c r="F41" s="76" t="n"/>
      <c r="G41" s="76" t="n"/>
      <c r="I41" s="75" t="inlineStr">
        <is>
          <t>গৃহকর্মীর বেতন</t>
        </is>
      </c>
      <c r="J41" s="110">
        <f>SUMIF($C$4:$C$203,$I41,$E$4:$E$203)</f>
        <v/>
      </c>
      <c r="K41" s="111">
        <f>IFERROR($J41/$J$12,0)</f>
        <v/>
      </c>
    </row>
    <row r="42" ht="15.75" customHeight="1" s="52">
      <c r="A42" s="108" t="n"/>
      <c r="B42" s="75" t="n"/>
      <c r="C42" s="75" t="n"/>
      <c r="D42" s="109">
        <f t="array" ref="D42:D42">IFERROR(INDEX(GroupLookup,MATCH(C42,CategoryList,0)),"")</f>
        <v/>
      </c>
      <c r="E42" s="110" t="n"/>
      <c r="F42" s="75" t="n"/>
      <c r="G42" s="75" t="n"/>
      <c r="I42" s="76" t="inlineStr">
        <is>
          <t>আসবাবপত্র</t>
        </is>
      </c>
      <c r="J42" s="112">
        <f>SUMIF($C$4:$C$203,$I42,$E$4:$E$203)</f>
        <v/>
      </c>
      <c r="K42" s="113">
        <f>IFERROR($J42/$J$12,0)</f>
        <v/>
      </c>
    </row>
    <row r="43" ht="15.75" customHeight="1" s="52">
      <c r="A43" s="114" t="n"/>
      <c r="B43" s="76" t="n"/>
      <c r="C43" s="76" t="n"/>
      <c r="D43" s="109">
        <f t="array" ref="D43:D43">IFERROR(INDEX(GroupLookup,MATCH(C43,CategoryList,0)),"")</f>
        <v/>
      </c>
      <c r="E43" s="112" t="n"/>
      <c r="F43" s="76" t="n"/>
      <c r="G43" s="76" t="n"/>
      <c r="I43" s="75" t="inlineStr">
        <is>
          <t>বিদ্যুৎ বিল</t>
        </is>
      </c>
      <c r="J43" s="110">
        <f>SUMIF($C$4:$C$203,$I43,$E$4:$E$203)</f>
        <v/>
      </c>
      <c r="K43" s="111">
        <f>IFERROR($J43/$J$12,0)</f>
        <v/>
      </c>
    </row>
    <row r="44" ht="15.75" customHeight="1" s="52">
      <c r="A44" s="108" t="n"/>
      <c r="B44" s="75" t="n"/>
      <c r="C44" s="75" t="n"/>
      <c r="D44" s="109">
        <f t="array" ref="D44:D44">IFERROR(INDEX(GroupLookup,MATCH(C44,CategoryList,0)),"")</f>
        <v/>
      </c>
      <c r="E44" s="110" t="n"/>
      <c r="F44" s="75" t="n"/>
      <c r="G44" s="75" t="n"/>
      <c r="I44" s="76" t="inlineStr">
        <is>
          <t>গ্যাস বিল</t>
        </is>
      </c>
      <c r="J44" s="112">
        <f>SUMIF($C$4:$C$203,$I44,$E$4:$E$203)</f>
        <v/>
      </c>
      <c r="K44" s="113">
        <f>IFERROR($J44/$J$12,0)</f>
        <v/>
      </c>
    </row>
    <row r="45" ht="15.75" customHeight="1" s="52">
      <c r="A45" s="114" t="n"/>
      <c r="B45" s="76" t="n"/>
      <c r="C45" s="76" t="n"/>
      <c r="D45" s="109">
        <f t="array" ref="D45:D45">IFERROR(INDEX(GroupLookup,MATCH(C45,CategoryList,0)),"")</f>
        <v/>
      </c>
      <c r="E45" s="112" t="n"/>
      <c r="F45" s="76" t="n"/>
      <c r="G45" s="76" t="n"/>
      <c r="I45" s="75" t="inlineStr">
        <is>
          <t>পানির বিল</t>
        </is>
      </c>
      <c r="J45" s="110">
        <f>SUMIF($C$4:$C$203,$I45,$E$4:$E$203)</f>
        <v/>
      </c>
      <c r="K45" s="111">
        <f>IFERROR($J45/$J$12,0)</f>
        <v/>
      </c>
    </row>
    <row r="46" ht="15.75" customHeight="1" s="52">
      <c r="A46" s="108" t="n"/>
      <c r="B46" s="75" t="n"/>
      <c r="C46" s="75" t="n"/>
      <c r="D46" s="109">
        <f t="array" ref="D46:D46">IFERROR(INDEX(GroupLookup,MATCH(C46,CategoryList,0)),"")</f>
        <v/>
      </c>
      <c r="E46" s="110" t="n"/>
      <c r="F46" s="75" t="n"/>
      <c r="G46" s="75" t="n"/>
      <c r="I46" s="76" t="inlineStr">
        <is>
          <t>ইন্টারনেট বিল</t>
        </is>
      </c>
      <c r="J46" s="112">
        <f>SUMIF($C$4:$C$203,$I46,$E$4:$E$203)</f>
        <v/>
      </c>
      <c r="K46" s="113">
        <f>IFERROR($J46/$J$12,0)</f>
        <v/>
      </c>
    </row>
    <row r="47" ht="15.75" customHeight="1" s="52">
      <c r="A47" s="114" t="n"/>
      <c r="B47" s="76" t="n"/>
      <c r="C47" s="76" t="n"/>
      <c r="D47" s="109">
        <f t="array" ref="D47:D47">IFERROR(INDEX(GroupLookup,MATCH(C47,CategoryList,0)),"")</f>
        <v/>
      </c>
      <c r="E47" s="112" t="n"/>
      <c r="F47" s="76" t="n"/>
      <c r="G47" s="76" t="n"/>
      <c r="I47" s="75" t="inlineStr">
        <is>
          <t>মোবাইল রিচার্জ</t>
        </is>
      </c>
      <c r="J47" s="110">
        <f>SUMIF($C$4:$C$203,$I47,$E$4:$E$203)</f>
        <v/>
      </c>
      <c r="K47" s="111">
        <f>IFERROR($J47/$J$12,0)</f>
        <v/>
      </c>
    </row>
    <row r="48" ht="15.75" customHeight="1" s="52">
      <c r="A48" s="108" t="n"/>
      <c r="B48" s="75" t="n"/>
      <c r="C48" s="75" t="n"/>
      <c r="D48" s="109">
        <f t="array" ref="D48:D48">IFERROR(INDEX(GroupLookup,MATCH(C48,CategoryList,0)),"")</f>
        <v/>
      </c>
      <c r="E48" s="110" t="n"/>
      <c r="F48" s="75" t="n"/>
      <c r="G48" s="75" t="n"/>
      <c r="I48" s="76" t="inlineStr">
        <is>
          <t>ডিশ / ক্যাবল বিল</t>
        </is>
      </c>
      <c r="J48" s="112">
        <f>SUMIF($C$4:$C$203,$I48,$E$4:$E$203)</f>
        <v/>
      </c>
      <c r="K48" s="113">
        <f>IFERROR($J48/$J$12,0)</f>
        <v/>
      </c>
    </row>
    <row r="49" ht="15.75" customHeight="1" s="52">
      <c r="A49" s="114" t="n"/>
      <c r="B49" s="76" t="n"/>
      <c r="C49" s="76" t="n"/>
      <c r="D49" s="109">
        <f t="array" ref="D49:D49">IFERROR(INDEX(GroupLookup,MATCH(C49,CategoryList,0)),"")</f>
        <v/>
      </c>
      <c r="E49" s="112" t="n"/>
      <c r="F49" s="76" t="n"/>
      <c r="G49" s="76" t="n"/>
      <c r="I49" s="75" t="inlineStr">
        <is>
          <t>পৌর কর ও হোল্ডিং ট্যাক্স</t>
        </is>
      </c>
      <c r="J49" s="110">
        <f>SUMIF($C$4:$C$203,$I49,$E$4:$E$203)</f>
        <v/>
      </c>
      <c r="K49" s="111">
        <f>IFERROR($J49/$J$12,0)</f>
        <v/>
      </c>
    </row>
    <row r="50" ht="15.75" customHeight="1" s="52">
      <c r="A50" s="108" t="n"/>
      <c r="B50" s="75" t="n"/>
      <c r="C50" s="75" t="n"/>
      <c r="D50" s="109">
        <f t="array" ref="D50:D50">IFERROR(INDEX(GroupLookup,MATCH(C50,CategoryList,0)),"")</f>
        <v/>
      </c>
      <c r="E50" s="110" t="n"/>
      <c r="F50" s="75" t="n"/>
      <c r="G50" s="75" t="n"/>
      <c r="I50" s="76" t="inlineStr">
        <is>
          <t>ময়লা ও পরিচ্ছন্নতা বিল</t>
        </is>
      </c>
      <c r="J50" s="112">
        <f>SUMIF($C$4:$C$203,$I50,$E$4:$E$203)</f>
        <v/>
      </c>
      <c r="K50" s="113">
        <f>IFERROR($J50/$J$12,0)</f>
        <v/>
      </c>
    </row>
    <row r="51" ht="15.75" customHeight="1" s="52">
      <c r="A51" s="114" t="n"/>
      <c r="B51" s="76" t="n"/>
      <c r="C51" s="76" t="n"/>
      <c r="D51" s="109">
        <f t="array" ref="D51:D51">IFERROR(INDEX(GroupLookup,MATCH(C51,CategoryList,0)),"")</f>
        <v/>
      </c>
      <c r="E51" s="112" t="n"/>
      <c r="F51" s="76" t="n"/>
      <c r="G51" s="76" t="n"/>
      <c r="I51" s="75" t="inlineStr">
        <is>
          <t>রিকশা / সিএনজি</t>
        </is>
      </c>
      <c r="J51" s="110">
        <f>SUMIF($C$4:$C$203,$I51,$E$4:$E$203)</f>
        <v/>
      </c>
      <c r="K51" s="111">
        <f>IFERROR($J51/$J$12,0)</f>
        <v/>
      </c>
    </row>
    <row r="52" ht="15.75" customHeight="1" s="52">
      <c r="A52" s="108" t="n"/>
      <c r="B52" s="75" t="n"/>
      <c r="C52" s="75" t="n"/>
      <c r="D52" s="109">
        <f t="array" ref="D52:D52">IFERROR(INDEX(GroupLookup,MATCH(C52,CategoryList,0)),"")</f>
        <v/>
      </c>
      <c r="E52" s="110" t="n"/>
      <c r="F52" s="75" t="n"/>
      <c r="G52" s="75" t="n"/>
      <c r="I52" s="76" t="inlineStr">
        <is>
          <t>বাস / ট্রেন / লঞ্চ ভাড়া</t>
        </is>
      </c>
      <c r="J52" s="112">
        <f>SUMIF($C$4:$C$203,$I52,$E$4:$E$203)</f>
        <v/>
      </c>
      <c r="K52" s="113">
        <f>IFERROR($J52/$J$12,0)</f>
        <v/>
      </c>
    </row>
    <row r="53" ht="15.75" customHeight="1" s="52">
      <c r="A53" s="114" t="n"/>
      <c r="B53" s="76" t="n"/>
      <c r="C53" s="76" t="n"/>
      <c r="D53" s="109">
        <f t="array" ref="D53:D53">IFERROR(INDEX(GroupLookup,MATCH(C53,CategoryList,0)),"")</f>
        <v/>
      </c>
      <c r="E53" s="112" t="n"/>
      <c r="F53" s="76" t="n"/>
      <c r="G53" s="76" t="n"/>
      <c r="I53" s="75" t="inlineStr">
        <is>
          <t>রাইড শেয়ারিং</t>
        </is>
      </c>
      <c r="J53" s="110">
        <f>SUMIF($C$4:$C$203,$I53,$E$4:$E$203)</f>
        <v/>
      </c>
      <c r="K53" s="111">
        <f>IFERROR($J53/$J$12,0)</f>
        <v/>
      </c>
    </row>
    <row r="54" ht="15.75" customHeight="1" s="52">
      <c r="A54" s="108" t="n"/>
      <c r="B54" s="75" t="n"/>
      <c r="C54" s="75" t="n"/>
      <c r="D54" s="109">
        <f t="array" ref="D54:D54">IFERROR(INDEX(GroupLookup,MATCH(C54,CategoryList,0)),"")</f>
        <v/>
      </c>
      <c r="E54" s="110" t="n"/>
      <c r="F54" s="75" t="n"/>
      <c r="G54" s="75" t="n"/>
      <c r="I54" s="76" t="inlineStr">
        <is>
          <t>জ্বালানি (পেট্রোল / ডিজেল)</t>
        </is>
      </c>
      <c r="J54" s="112">
        <f>SUMIF($C$4:$C$203,$I54,$E$4:$E$203)</f>
        <v/>
      </c>
      <c r="K54" s="113">
        <f>IFERROR($J54/$J$12,0)</f>
        <v/>
      </c>
    </row>
    <row r="55" ht="15.75" customHeight="1" s="52">
      <c r="A55" s="114" t="n"/>
      <c r="B55" s="76" t="n"/>
      <c r="C55" s="76" t="n"/>
      <c r="D55" s="109">
        <f t="array" ref="D55:D55">IFERROR(INDEX(GroupLookup,MATCH(C55,CategoryList,0)),"")</f>
        <v/>
      </c>
      <c r="E55" s="112" t="n"/>
      <c r="F55" s="76" t="n"/>
      <c r="G55" s="76" t="n"/>
      <c r="I55" s="75" t="inlineStr">
        <is>
          <t>গাড়ি / বাইক রক্ষণাবেক্ষণ</t>
        </is>
      </c>
      <c r="J55" s="110">
        <f>SUMIF($C$4:$C$203,$I55,$E$4:$E$203)</f>
        <v/>
      </c>
      <c r="K55" s="111">
        <f>IFERROR($J55/$J$12,0)</f>
        <v/>
      </c>
    </row>
    <row r="56" ht="15.75" customHeight="1" s="52">
      <c r="A56" s="108" t="n"/>
      <c r="B56" s="75" t="n"/>
      <c r="C56" s="75" t="n"/>
      <c r="D56" s="109">
        <f t="array" ref="D56:D56">IFERROR(INDEX(GroupLookup,MATCH(C56,CategoryList,0)),"")</f>
        <v/>
      </c>
      <c r="E56" s="110" t="n"/>
      <c r="F56" s="75" t="n"/>
      <c r="G56" s="75" t="n"/>
      <c r="I56" s="76" t="inlineStr">
        <is>
          <t>পার্কিং ও টোল</t>
        </is>
      </c>
      <c r="J56" s="112">
        <f>SUMIF($C$4:$C$203,$I56,$E$4:$E$203)</f>
        <v/>
      </c>
      <c r="K56" s="113">
        <f>IFERROR($J56/$J$12,0)</f>
        <v/>
      </c>
    </row>
    <row r="57" ht="15.75" customHeight="1" s="52">
      <c r="A57" s="114" t="n"/>
      <c r="B57" s="76" t="n"/>
      <c r="C57" s="76" t="n"/>
      <c r="D57" s="109">
        <f t="array" ref="D57:D57">IFERROR(INDEX(GroupLookup,MATCH(C57,CategoryList,0)),"")</f>
        <v/>
      </c>
      <c r="E57" s="112" t="n"/>
      <c r="F57" s="76" t="n"/>
      <c r="G57" s="76" t="n"/>
      <c r="I57" s="75" t="inlineStr">
        <is>
          <t>ওষুধ</t>
        </is>
      </c>
      <c r="J57" s="110">
        <f>SUMIF($C$4:$C$203,$I57,$E$4:$E$203)</f>
        <v/>
      </c>
      <c r="K57" s="111">
        <f>IFERROR($J57/$J$12,0)</f>
        <v/>
      </c>
    </row>
    <row r="58" ht="15.75" customHeight="1" s="52">
      <c r="A58" s="108" t="n"/>
      <c r="B58" s="75" t="n"/>
      <c r="C58" s="75" t="n"/>
      <c r="D58" s="109">
        <f t="array" ref="D58:D58">IFERROR(INDEX(GroupLookup,MATCH(C58,CategoryList,0)),"")</f>
        <v/>
      </c>
      <c r="E58" s="110" t="n"/>
      <c r="F58" s="75" t="n"/>
      <c r="G58" s="75" t="n"/>
      <c r="I58" s="76" t="inlineStr">
        <is>
          <t>ডাক্তারের ফি</t>
        </is>
      </c>
      <c r="J58" s="112">
        <f>SUMIF($C$4:$C$203,$I58,$E$4:$E$203)</f>
        <v/>
      </c>
      <c r="K58" s="113">
        <f>IFERROR($J58/$J$12,0)</f>
        <v/>
      </c>
    </row>
    <row r="59" ht="15.75" customHeight="1" s="52">
      <c r="A59" s="114" t="n"/>
      <c r="B59" s="76" t="n"/>
      <c r="C59" s="76" t="n"/>
      <c r="D59" s="109">
        <f t="array" ref="D59:D59">IFERROR(INDEX(GroupLookup,MATCH(C59,CategoryList,0)),"")</f>
        <v/>
      </c>
      <c r="E59" s="112" t="n"/>
      <c r="F59" s="76" t="n"/>
      <c r="G59" s="76" t="n"/>
      <c r="I59" s="75" t="inlineStr">
        <is>
          <t>চিকিৎসা পরীক্ষা</t>
        </is>
      </c>
      <c r="J59" s="110">
        <f>SUMIF($C$4:$C$203,$I59,$E$4:$E$203)</f>
        <v/>
      </c>
      <c r="K59" s="111">
        <f>IFERROR($J59/$J$12,0)</f>
        <v/>
      </c>
    </row>
    <row r="60" ht="15.75" customHeight="1" s="52">
      <c r="A60" s="108" t="n"/>
      <c r="B60" s="75" t="n"/>
      <c r="C60" s="75" t="n"/>
      <c r="D60" s="109">
        <f t="array" ref="D60:D60">IFERROR(INDEX(GroupLookup,MATCH(C60,CategoryList,0)),"")</f>
        <v/>
      </c>
      <c r="E60" s="110" t="n"/>
      <c r="F60" s="75" t="n"/>
      <c r="G60" s="75" t="n"/>
      <c r="I60" s="76" t="inlineStr">
        <is>
          <t>স্বাস্থ্য বীমা</t>
        </is>
      </c>
      <c r="J60" s="112">
        <f>SUMIF($C$4:$C$203,$I60,$E$4:$E$203)</f>
        <v/>
      </c>
      <c r="K60" s="113">
        <f>IFERROR($J60/$J$12,0)</f>
        <v/>
      </c>
    </row>
    <row r="61" ht="15.75" customHeight="1" s="52">
      <c r="A61" s="114" t="n"/>
      <c r="B61" s="76" t="n"/>
      <c r="C61" s="76" t="n"/>
      <c r="D61" s="109">
        <f t="array" ref="D61:D61">IFERROR(INDEX(GroupLookup,MATCH(C61,CategoryList,0)),"")</f>
        <v/>
      </c>
      <c r="E61" s="112" t="n"/>
      <c r="F61" s="76" t="n"/>
      <c r="G61" s="76" t="n"/>
      <c r="I61" s="75" t="inlineStr">
        <is>
          <t>স্কুল / কলেজ ফি</t>
        </is>
      </c>
      <c r="J61" s="110">
        <f>SUMIF($C$4:$C$203,$I61,$E$4:$E$203)</f>
        <v/>
      </c>
      <c r="K61" s="111">
        <f>IFERROR($J61/$J$12,0)</f>
        <v/>
      </c>
    </row>
    <row r="62" ht="15.75" customHeight="1" s="52">
      <c r="A62" s="108" t="n"/>
      <c r="B62" s="75" t="n"/>
      <c r="C62" s="75" t="n"/>
      <c r="D62" s="109">
        <f t="array" ref="D62:D62">IFERROR(INDEX(GroupLookup,MATCH(C62,CategoryList,0)),"")</f>
        <v/>
      </c>
      <c r="E62" s="110" t="n"/>
      <c r="F62" s="75" t="n"/>
      <c r="G62" s="75" t="n"/>
      <c r="I62" s="76" t="inlineStr">
        <is>
          <t>প্রাইভেট / কোচিং</t>
        </is>
      </c>
      <c r="J62" s="112">
        <f>SUMIF($C$4:$C$203,$I62,$E$4:$E$203)</f>
        <v/>
      </c>
      <c r="K62" s="113">
        <f>IFERROR($J62/$J$12,0)</f>
        <v/>
      </c>
    </row>
    <row r="63" ht="15.75" customHeight="1" s="52">
      <c r="A63" s="114" t="n"/>
      <c r="B63" s="76" t="n"/>
      <c r="C63" s="76" t="n"/>
      <c r="D63" s="109">
        <f t="array" ref="D63:D63">IFERROR(INDEX(GroupLookup,MATCH(C63,CategoryList,0)),"")</f>
        <v/>
      </c>
      <c r="E63" s="112" t="n"/>
      <c r="F63" s="76" t="n"/>
      <c r="G63" s="76" t="n"/>
      <c r="I63" s="75" t="inlineStr">
        <is>
          <t>বই ও শিক্ষা উপকরণ</t>
        </is>
      </c>
      <c r="J63" s="110">
        <f>SUMIF($C$4:$C$203,$I63,$E$4:$E$203)</f>
        <v/>
      </c>
      <c r="K63" s="111">
        <f>IFERROR($J63/$J$12,0)</f>
        <v/>
      </c>
    </row>
    <row r="64" ht="15.75" customHeight="1" s="52">
      <c r="A64" s="108" t="n"/>
      <c r="B64" s="75" t="n"/>
      <c r="C64" s="75" t="n"/>
      <c r="D64" s="109">
        <f t="array" ref="D64:D64">IFERROR(INDEX(GroupLookup,MATCH(C64,CategoryList,0)),"")</f>
        <v/>
      </c>
      <c r="E64" s="110" t="n"/>
      <c r="F64" s="75" t="n"/>
      <c r="G64" s="75" t="n"/>
      <c r="I64" s="76" t="inlineStr">
        <is>
          <t>পরীক্ষার ফি</t>
        </is>
      </c>
      <c r="J64" s="112">
        <f>SUMIF($C$4:$C$203,$I64,$E$4:$E$203)</f>
        <v/>
      </c>
      <c r="K64" s="113">
        <f>IFERROR($J64/$J$12,0)</f>
        <v/>
      </c>
    </row>
    <row r="65" ht="15.75" customHeight="1" s="52">
      <c r="A65" s="114" t="n"/>
      <c r="B65" s="76" t="n"/>
      <c r="C65" s="76" t="n"/>
      <c r="D65" s="109">
        <f t="array" ref="D65:D65">IFERROR(INDEX(GroupLookup,MATCH(C65,CategoryList,0)),"")</f>
        <v/>
      </c>
      <c r="E65" s="112" t="n"/>
      <c r="F65" s="76" t="n"/>
      <c r="G65" s="76" t="n"/>
      <c r="I65" s="75" t="inlineStr">
        <is>
          <t>পোশাক ও জুতা</t>
        </is>
      </c>
      <c r="J65" s="110">
        <f>SUMIF($C$4:$C$203,$I65,$E$4:$E$203)</f>
        <v/>
      </c>
      <c r="K65" s="111">
        <f>IFERROR($J65/$J$12,0)</f>
        <v/>
      </c>
    </row>
    <row r="66" ht="15.75" customHeight="1" s="52">
      <c r="A66" s="108" t="n"/>
      <c r="B66" s="75" t="n"/>
      <c r="C66" s="75" t="n"/>
      <c r="D66" s="109">
        <f t="array" ref="D66:D66">IFERROR(INDEX(GroupLookup,MATCH(C66,CategoryList,0)),"")</f>
        <v/>
      </c>
      <c r="E66" s="110" t="n"/>
      <c r="F66" s="75" t="n"/>
      <c r="G66" s="75" t="n"/>
      <c r="I66" s="76" t="inlineStr">
        <is>
          <t>প্রসাধনী ও পরিচর্যা</t>
        </is>
      </c>
      <c r="J66" s="112">
        <f>SUMIF($C$4:$C$203,$I66,$E$4:$E$203)</f>
        <v/>
      </c>
      <c r="K66" s="113">
        <f>IFERROR($J66/$J$12,0)</f>
        <v/>
      </c>
    </row>
    <row r="67" ht="15.75" customHeight="1" s="52">
      <c r="A67" s="114" t="n"/>
      <c r="B67" s="76" t="n"/>
      <c r="C67" s="76" t="n"/>
      <c r="D67" s="109">
        <f t="array" ref="D67:D67">IFERROR(INDEX(GroupLookup,MATCH(C67,CategoryList,0)),"")</f>
        <v/>
      </c>
      <c r="E67" s="112" t="n"/>
      <c r="F67" s="76" t="n"/>
      <c r="G67" s="76" t="n"/>
      <c r="I67" s="75" t="inlineStr">
        <is>
          <t>সাবান ও ডিটারজেন্ট</t>
        </is>
      </c>
      <c r="J67" s="110">
        <f>SUMIF($C$4:$C$203,$I67,$E$4:$E$203)</f>
        <v/>
      </c>
      <c r="K67" s="111">
        <f>IFERROR($J67/$J$12,0)</f>
        <v/>
      </c>
    </row>
    <row r="68" ht="15.75" customHeight="1" s="52">
      <c r="A68" s="108" t="n"/>
      <c r="B68" s="75" t="n"/>
      <c r="C68" s="75" t="n"/>
      <c r="D68" s="109">
        <f t="array" ref="D68:D68">IFERROR(INDEX(GroupLookup,MATCH(C68,CategoryList,0)),"")</f>
        <v/>
      </c>
      <c r="E68" s="110" t="n"/>
      <c r="F68" s="75" t="n"/>
      <c r="G68" s="75" t="n"/>
      <c r="I68" s="76" t="inlineStr">
        <is>
          <t>গৃহস্থালি সামগ্রী</t>
        </is>
      </c>
      <c r="J68" s="112">
        <f>SUMIF($C$4:$C$203,$I68,$E$4:$E$203)</f>
        <v/>
      </c>
      <c r="K68" s="113">
        <f>IFERROR($J68/$J$12,0)</f>
        <v/>
      </c>
    </row>
    <row r="69" ht="15.75" customHeight="1" s="52">
      <c r="A69" s="114" t="n"/>
      <c r="B69" s="76" t="n"/>
      <c r="C69" s="76" t="n"/>
      <c r="D69" s="109">
        <f t="array" ref="D69:D69">IFERROR(INDEX(GroupLookup,MATCH(C69,CategoryList,0)),"")</f>
        <v/>
      </c>
      <c r="E69" s="112" t="n"/>
      <c r="F69" s="76" t="n"/>
      <c r="G69" s="76" t="n"/>
      <c r="I69" s="75" t="inlineStr">
        <is>
          <t>সেলুন / পার্লার</t>
        </is>
      </c>
      <c r="J69" s="110">
        <f>SUMIF($C$4:$C$203,$I69,$E$4:$E$203)</f>
        <v/>
      </c>
      <c r="K69" s="111">
        <f>IFERROR($J69/$J$12,0)</f>
        <v/>
      </c>
    </row>
    <row r="70" ht="15.75" customHeight="1" s="52">
      <c r="A70" s="108" t="n"/>
      <c r="B70" s="75" t="n"/>
      <c r="C70" s="75" t="n"/>
      <c r="D70" s="109">
        <f t="array" ref="D70:D70">IFERROR(INDEX(GroupLookup,MATCH(C70,CategoryList,0)),"")</f>
        <v/>
      </c>
      <c r="E70" s="110" t="n"/>
      <c r="F70" s="75" t="n"/>
      <c r="G70" s="75" t="n"/>
      <c r="I70" s="76" t="inlineStr">
        <is>
          <t>বিনোদন ও ঘোরাঘুরি</t>
        </is>
      </c>
      <c r="J70" s="112">
        <f>SUMIF($C$4:$C$203,$I70,$E$4:$E$203)</f>
        <v/>
      </c>
      <c r="K70" s="113">
        <f>IFERROR($J70/$J$12,0)</f>
        <v/>
      </c>
    </row>
    <row r="71" ht="15.75" customHeight="1" s="52">
      <c r="A71" s="114" t="n"/>
      <c r="B71" s="76" t="n"/>
      <c r="C71" s="76" t="n"/>
      <c r="D71" s="109">
        <f t="array" ref="D71:D71">IFERROR(INDEX(GroupLookup,MATCH(C71,CategoryList,0)),"")</f>
        <v/>
      </c>
      <c r="E71" s="112" t="n"/>
      <c r="F71" s="76" t="n"/>
      <c r="G71" s="76" t="n"/>
      <c r="I71" s="75" t="inlineStr">
        <is>
          <t>উপহার ও অনুষ্ঠান</t>
        </is>
      </c>
      <c r="J71" s="110">
        <f>SUMIF($C$4:$C$203,$I71,$E$4:$E$203)</f>
        <v/>
      </c>
      <c r="K71" s="111">
        <f>IFERROR($J71/$J$12,0)</f>
        <v/>
      </c>
    </row>
    <row r="72" ht="15.75" customHeight="1" s="52">
      <c r="A72" s="108" t="n"/>
      <c r="B72" s="75" t="n"/>
      <c r="C72" s="75" t="n"/>
      <c r="D72" s="109">
        <f t="array" ref="D72:D72">IFERROR(INDEX(GroupLookup,MATCH(C72,CategoryList,0)),"")</f>
        <v/>
      </c>
      <c r="E72" s="110" t="n"/>
      <c r="F72" s="75" t="n"/>
      <c r="G72" s="75" t="n"/>
      <c r="I72" s="76" t="inlineStr">
        <is>
          <t>দান ও যাকাত</t>
        </is>
      </c>
      <c r="J72" s="112">
        <f>SUMIF($C$4:$C$203,$I72,$E$4:$E$203)</f>
        <v/>
      </c>
      <c r="K72" s="113">
        <f>IFERROR($J72/$J$12,0)</f>
        <v/>
      </c>
    </row>
    <row r="73" ht="15.75" customHeight="1" s="52">
      <c r="A73" s="114" t="n"/>
      <c r="B73" s="76" t="n"/>
      <c r="C73" s="76" t="n"/>
      <c r="D73" s="109">
        <f t="array" ref="D73:D73">IFERROR(INDEX(GroupLookup,MATCH(C73,CategoryList,0)),"")</f>
        <v/>
      </c>
      <c r="E73" s="112" t="n"/>
      <c r="F73" s="76" t="n"/>
      <c r="G73" s="76" t="n"/>
      <c r="I73" s="75" t="inlineStr">
        <is>
          <t>সঞ্চয় ও বিনিয়োগ</t>
        </is>
      </c>
      <c r="J73" s="110">
        <f>SUMIF($C$4:$C$203,$I73,$E$4:$E$203)</f>
        <v/>
      </c>
      <c r="K73" s="111">
        <f>IFERROR($J73/$J$12,0)</f>
        <v/>
      </c>
    </row>
    <row r="74" ht="15.75" customHeight="1" s="52">
      <c r="A74" s="108" t="n"/>
      <c r="B74" s="75" t="n"/>
      <c r="C74" s="75" t="n"/>
      <c r="D74" s="109">
        <f t="array" ref="D74:D74">IFERROR(INDEX(GroupLookup,MATCH(C74,CategoryList,0)),"")</f>
        <v/>
      </c>
      <c r="E74" s="110" t="n"/>
      <c r="F74" s="75" t="n"/>
      <c r="G74" s="75" t="n"/>
      <c r="I74" s="76" t="inlineStr">
        <is>
          <t>ঋণ পরিশোধ / কিস্তি</t>
        </is>
      </c>
      <c r="J74" s="112">
        <f>SUMIF($C$4:$C$203,$I74,$E$4:$E$203)</f>
        <v/>
      </c>
      <c r="K74" s="113">
        <f>IFERROR($J74/$J$12,0)</f>
        <v/>
      </c>
    </row>
    <row r="75" ht="15.75" customHeight="1" s="52">
      <c r="A75" s="114" t="n"/>
      <c r="B75" s="76" t="n"/>
      <c r="C75" s="76" t="n"/>
      <c r="D75" s="109">
        <f t="array" ref="D75:D75">IFERROR(INDEX(GroupLookup,MATCH(C75,CategoryList,0)),"")</f>
        <v/>
      </c>
      <c r="E75" s="112" t="n"/>
      <c r="F75" s="76" t="n"/>
      <c r="G75" s="76" t="n"/>
      <c r="I75" s="75" t="inlineStr">
        <is>
          <t>বীমা প্রিমিয়াম</t>
        </is>
      </c>
      <c r="J75" s="110">
        <f>SUMIF($C$4:$C$203,$I75,$E$4:$E$203)</f>
        <v/>
      </c>
      <c r="K75" s="111">
        <f>IFERROR($J75/$J$12,0)</f>
        <v/>
      </c>
    </row>
    <row r="76" ht="15.75" customHeight="1" s="52">
      <c r="A76" s="108" t="n"/>
      <c r="B76" s="75" t="n"/>
      <c r="C76" s="75" t="n"/>
      <c r="D76" s="109">
        <f t="array" ref="D76:D76">IFERROR(INDEX(GroupLookup,MATCH(C76,CategoryList,0)),"")</f>
        <v/>
      </c>
      <c r="E76" s="110" t="n"/>
      <c r="F76" s="75" t="n"/>
      <c r="G76" s="75" t="n"/>
      <c r="I76" s="76" t="inlineStr">
        <is>
          <t>অন্যান্য খরচ</t>
        </is>
      </c>
      <c r="J76" s="112">
        <f>SUMIF($C$4:$C$203,$I76,$E$4:$E$203)</f>
        <v/>
      </c>
      <c r="K76" s="113">
        <f>IFERROR($J76/$J$12,0)</f>
        <v/>
      </c>
    </row>
    <row r="77" ht="15.75" customHeight="1" s="52">
      <c r="A77" s="114" t="n"/>
      <c r="B77" s="76" t="n"/>
      <c r="C77" s="76" t="n"/>
      <c r="D77" s="109">
        <f t="array" ref="D77:D77">IFERROR(INDEX(GroupLookup,MATCH(C77,CategoryList,0)),"")</f>
        <v/>
      </c>
      <c r="E77" s="112" t="n"/>
      <c r="F77" s="76" t="n"/>
      <c r="G77" s="76" t="n"/>
      <c r="I77" s="72" t="inlineStr">
        <is>
          <t>সর্বমোট</t>
        </is>
      </c>
      <c r="J77" s="117">
        <f>SUM($J$23:$J$76)</f>
        <v/>
      </c>
      <c r="K77" s="118">
        <f>IFERROR($J$77/$J$12,0)</f>
        <v/>
      </c>
    </row>
    <row r="78" ht="15.75" customHeight="1" s="52">
      <c r="A78" s="108" t="n"/>
      <c r="B78" s="75" t="n"/>
      <c r="C78" s="75" t="n"/>
      <c r="D78" s="109">
        <f t="array" ref="D78:D78">IFERROR(INDEX(GroupLookup,MATCH(C78,CategoryList,0)),"")</f>
        <v/>
      </c>
      <c r="E78" s="110" t="n"/>
      <c r="F78" s="75" t="n"/>
      <c r="G78" s="75" t="n"/>
    </row>
    <row r="79" ht="15.75" customHeight="1" s="52">
      <c r="A79" s="114" t="n"/>
      <c r="B79" s="76" t="n"/>
      <c r="C79" s="76" t="n"/>
      <c r="D79" s="109">
        <f t="array" ref="D79:D79">IFERROR(INDEX(GroupLookup,MATCH(C79,CategoryList,0)),"")</f>
        <v/>
      </c>
      <c r="E79" s="112" t="n"/>
      <c r="F79" s="76" t="n"/>
      <c r="G79" s="76" t="n"/>
    </row>
    <row r="80" ht="15.75" customHeight="1" s="52">
      <c r="A80" s="108" t="n"/>
      <c r="B80" s="75" t="n"/>
      <c r="C80" s="75" t="n"/>
      <c r="D80" s="109">
        <f t="array" ref="D80:D80">IFERROR(INDEX(GroupLookup,MATCH(C80,CategoryList,0)),"")</f>
        <v/>
      </c>
      <c r="E80" s="110" t="n"/>
      <c r="F80" s="75" t="n"/>
      <c r="G80" s="75" t="n"/>
    </row>
    <row r="81" ht="15.75" customHeight="1" s="52">
      <c r="A81" s="114" t="n"/>
      <c r="B81" s="76" t="n"/>
      <c r="C81" s="76" t="n"/>
      <c r="D81" s="109">
        <f t="array" ref="D81:D81">IFERROR(INDEX(GroupLookup,MATCH(C81,CategoryList,0)),"")</f>
        <v/>
      </c>
      <c r="E81" s="112" t="n"/>
      <c r="F81" s="76" t="n"/>
      <c r="G81" s="76" t="n"/>
    </row>
    <row r="82" ht="15.75" customHeight="1" s="52">
      <c r="A82" s="108" t="n"/>
      <c r="B82" s="75" t="n"/>
      <c r="C82" s="75" t="n"/>
      <c r="D82" s="109">
        <f t="array" ref="D82:D82">IFERROR(INDEX(GroupLookup,MATCH(C82,CategoryList,0)),"")</f>
        <v/>
      </c>
      <c r="E82" s="110" t="n"/>
      <c r="F82" s="75" t="n"/>
      <c r="G82" s="75" t="n"/>
    </row>
    <row r="83" ht="15.75" customHeight="1" s="52">
      <c r="A83" s="114" t="n"/>
      <c r="B83" s="76" t="n"/>
      <c r="C83" s="76" t="n"/>
      <c r="D83" s="109">
        <f t="array" ref="D83:D83">IFERROR(INDEX(GroupLookup,MATCH(C83,CategoryList,0)),"")</f>
        <v/>
      </c>
      <c r="E83" s="112" t="n"/>
      <c r="F83" s="76" t="n"/>
      <c r="G83" s="76" t="n"/>
    </row>
    <row r="84" ht="15.75" customHeight="1" s="52">
      <c r="A84" s="108" t="n"/>
      <c r="B84" s="75" t="n"/>
      <c r="C84" s="75" t="n"/>
      <c r="D84" s="109">
        <f t="array" ref="D84:D84">IFERROR(INDEX(GroupLookup,MATCH(C84,CategoryList,0)),"")</f>
        <v/>
      </c>
      <c r="E84" s="110" t="n"/>
      <c r="F84" s="75" t="n"/>
      <c r="G84" s="75" t="n"/>
    </row>
    <row r="85" ht="15.75" customHeight="1" s="52">
      <c r="A85" s="114" t="n"/>
      <c r="B85" s="76" t="n"/>
      <c r="C85" s="76" t="n"/>
      <c r="D85" s="109">
        <f t="array" ref="D85:D85">IFERROR(INDEX(GroupLookup,MATCH(C85,CategoryList,0)),"")</f>
        <v/>
      </c>
      <c r="E85" s="112" t="n"/>
      <c r="F85" s="76" t="n"/>
      <c r="G85" s="76" t="n"/>
    </row>
    <row r="86" ht="15.75" customHeight="1" s="52">
      <c r="A86" s="108" t="n"/>
      <c r="B86" s="75" t="n"/>
      <c r="C86" s="75" t="n"/>
      <c r="D86" s="109">
        <f t="array" ref="D86:D86">IFERROR(INDEX(GroupLookup,MATCH(C86,CategoryList,0)),"")</f>
        <v/>
      </c>
      <c r="E86" s="110" t="n"/>
      <c r="F86" s="75" t="n"/>
      <c r="G86" s="75" t="n"/>
    </row>
    <row r="87" ht="15.75" customHeight="1" s="52">
      <c r="A87" s="114" t="n"/>
      <c r="B87" s="76" t="n"/>
      <c r="C87" s="76" t="n"/>
      <c r="D87" s="109">
        <f t="array" ref="D87:D87">IFERROR(INDEX(GroupLookup,MATCH(C87,CategoryList,0)),"")</f>
        <v/>
      </c>
      <c r="E87" s="112" t="n"/>
      <c r="F87" s="76" t="n"/>
      <c r="G87" s="76" t="n"/>
    </row>
    <row r="88" ht="15.75" customHeight="1" s="52">
      <c r="A88" s="108" t="n"/>
      <c r="B88" s="75" t="n"/>
      <c r="C88" s="75" t="n"/>
      <c r="D88" s="109">
        <f t="array" ref="D88:D88">IFERROR(INDEX(GroupLookup,MATCH(C88,CategoryList,0)),"")</f>
        <v/>
      </c>
      <c r="E88" s="110" t="n"/>
      <c r="F88" s="75" t="n"/>
      <c r="G88" s="75" t="n"/>
    </row>
    <row r="89" ht="15.75" customHeight="1" s="52">
      <c r="A89" s="114" t="n"/>
      <c r="B89" s="76" t="n"/>
      <c r="C89" s="76" t="n"/>
      <c r="D89" s="109">
        <f t="array" ref="D89:D89">IFERROR(INDEX(GroupLookup,MATCH(C89,CategoryList,0)),"")</f>
        <v/>
      </c>
      <c r="E89" s="112" t="n"/>
      <c r="F89" s="76" t="n"/>
      <c r="G89" s="76" t="n"/>
    </row>
    <row r="90" ht="15.75" customHeight="1" s="52">
      <c r="A90" s="108" t="n"/>
      <c r="B90" s="75" t="n"/>
      <c r="C90" s="75" t="n"/>
      <c r="D90" s="109">
        <f t="array" ref="D90:D90">IFERROR(INDEX(GroupLookup,MATCH(C90,CategoryList,0)),"")</f>
        <v/>
      </c>
      <c r="E90" s="110" t="n"/>
      <c r="F90" s="75" t="n"/>
      <c r="G90" s="75" t="n"/>
    </row>
    <row r="91" ht="15.75" customHeight="1" s="52">
      <c r="A91" s="114" t="n"/>
      <c r="B91" s="76" t="n"/>
      <c r="C91" s="76" t="n"/>
      <c r="D91" s="109">
        <f t="array" ref="D91:D91">IFERROR(INDEX(GroupLookup,MATCH(C91,CategoryList,0)),"")</f>
        <v/>
      </c>
      <c r="E91" s="112" t="n"/>
      <c r="F91" s="76" t="n"/>
      <c r="G91" s="76" t="n"/>
    </row>
    <row r="92" ht="15.75" customHeight="1" s="52">
      <c r="A92" s="108" t="n"/>
      <c r="B92" s="75" t="n"/>
      <c r="C92" s="75" t="n"/>
      <c r="D92" s="109">
        <f t="array" ref="D92:D92">IFERROR(INDEX(GroupLookup,MATCH(C92,CategoryList,0)),"")</f>
        <v/>
      </c>
      <c r="E92" s="110" t="n"/>
      <c r="F92" s="75" t="n"/>
      <c r="G92" s="75" t="n"/>
    </row>
    <row r="93" ht="15.75" customHeight="1" s="52">
      <c r="A93" s="114" t="n"/>
      <c r="B93" s="76" t="n"/>
      <c r="C93" s="76" t="n"/>
      <c r="D93" s="109">
        <f t="array" ref="D93:D93">IFERROR(INDEX(GroupLookup,MATCH(C93,CategoryList,0)),"")</f>
        <v/>
      </c>
      <c r="E93" s="112" t="n"/>
      <c r="F93" s="76" t="n"/>
      <c r="G93" s="76" t="n"/>
    </row>
    <row r="94" ht="15.75" customHeight="1" s="52">
      <c r="A94" s="108" t="n"/>
      <c r="B94" s="75" t="n"/>
      <c r="C94" s="75" t="n"/>
      <c r="D94" s="109">
        <f t="array" ref="D94:D94">IFERROR(INDEX(GroupLookup,MATCH(C94,CategoryList,0)),"")</f>
        <v/>
      </c>
      <c r="E94" s="110" t="n"/>
      <c r="F94" s="75" t="n"/>
      <c r="G94" s="75" t="n"/>
    </row>
    <row r="95" ht="15.75" customHeight="1" s="52">
      <c r="A95" s="114" t="n"/>
      <c r="B95" s="76" t="n"/>
      <c r="C95" s="76" t="n"/>
      <c r="D95" s="109">
        <f t="array" ref="D95:D95">IFERROR(INDEX(GroupLookup,MATCH(C95,CategoryList,0)),"")</f>
        <v/>
      </c>
      <c r="E95" s="112" t="n"/>
      <c r="F95" s="76" t="n"/>
      <c r="G95" s="76" t="n"/>
    </row>
    <row r="96" ht="15.75" customHeight="1" s="52">
      <c r="A96" s="108" t="n"/>
      <c r="B96" s="75" t="n"/>
      <c r="C96" s="75" t="n"/>
      <c r="D96" s="109">
        <f t="array" ref="D96:D96">IFERROR(INDEX(GroupLookup,MATCH(C96,CategoryList,0)),"")</f>
        <v/>
      </c>
      <c r="E96" s="110" t="n"/>
      <c r="F96" s="75" t="n"/>
      <c r="G96" s="75" t="n"/>
    </row>
    <row r="97" ht="15.75" customHeight="1" s="52">
      <c r="A97" s="114" t="n"/>
      <c r="B97" s="76" t="n"/>
      <c r="C97" s="76" t="n"/>
      <c r="D97" s="109">
        <f t="array" ref="D97:D97">IFERROR(INDEX(GroupLookup,MATCH(C97,CategoryList,0)),"")</f>
        <v/>
      </c>
      <c r="E97" s="112" t="n"/>
      <c r="F97" s="76" t="n"/>
      <c r="G97" s="76" t="n"/>
    </row>
    <row r="98" ht="15.75" customHeight="1" s="52">
      <c r="A98" s="108" t="n"/>
      <c r="B98" s="75" t="n"/>
      <c r="C98" s="75" t="n"/>
      <c r="D98" s="109">
        <f t="array" ref="D98:D98">IFERROR(INDEX(GroupLookup,MATCH(C98,CategoryList,0)),"")</f>
        <v/>
      </c>
      <c r="E98" s="110" t="n"/>
      <c r="F98" s="75" t="n"/>
      <c r="G98" s="75" t="n"/>
    </row>
    <row r="99" ht="15.75" customHeight="1" s="52">
      <c r="A99" s="114" t="n"/>
      <c r="B99" s="76" t="n"/>
      <c r="C99" s="76" t="n"/>
      <c r="D99" s="109">
        <f t="array" ref="D99:D99">IFERROR(INDEX(GroupLookup,MATCH(C99,CategoryList,0)),"")</f>
        <v/>
      </c>
      <c r="E99" s="112" t="n"/>
      <c r="F99" s="76" t="n"/>
      <c r="G99" s="76" t="n"/>
    </row>
    <row r="100" ht="15.75" customHeight="1" s="52">
      <c r="A100" s="108" t="n"/>
      <c r="B100" s="75" t="n"/>
      <c r="C100" s="75" t="n"/>
      <c r="D100" s="109">
        <f t="array" ref="D100:D100">IFERROR(INDEX(GroupLookup,MATCH(C100,CategoryList,0)),"")</f>
        <v/>
      </c>
      <c r="E100" s="110" t="n"/>
      <c r="F100" s="75" t="n"/>
      <c r="G100" s="75" t="n"/>
    </row>
    <row r="101" ht="15.75" customHeight="1" s="52">
      <c r="A101" s="114" t="n"/>
      <c r="B101" s="76" t="n"/>
      <c r="C101" s="76" t="n"/>
      <c r="D101" s="109">
        <f t="array" ref="D101:D101">IFERROR(INDEX(GroupLookup,MATCH(C101,CategoryList,0)),"")</f>
        <v/>
      </c>
      <c r="E101" s="112" t="n"/>
      <c r="F101" s="76" t="n"/>
      <c r="G101" s="76" t="n"/>
    </row>
    <row r="102" ht="15.75" customHeight="1" s="52">
      <c r="A102" s="108" t="n"/>
      <c r="B102" s="75" t="n"/>
      <c r="C102" s="75" t="n"/>
      <c r="D102" s="109">
        <f t="array" ref="D102:D102">IFERROR(INDEX(GroupLookup,MATCH(C102,CategoryList,0)),"")</f>
        <v/>
      </c>
      <c r="E102" s="110" t="n"/>
      <c r="F102" s="75" t="n"/>
      <c r="G102" s="75" t="n"/>
    </row>
    <row r="103" ht="15.75" customHeight="1" s="52">
      <c r="A103" s="114" t="n"/>
      <c r="B103" s="76" t="n"/>
      <c r="C103" s="76" t="n"/>
      <c r="D103" s="109">
        <f t="array" ref="D103:D103">IFERROR(INDEX(GroupLookup,MATCH(C103,CategoryList,0)),"")</f>
        <v/>
      </c>
      <c r="E103" s="112" t="n"/>
      <c r="F103" s="76" t="n"/>
      <c r="G103" s="76" t="n"/>
    </row>
    <row r="104" ht="15.75" customHeight="1" s="52">
      <c r="A104" s="108" t="n"/>
      <c r="B104" s="75" t="n"/>
      <c r="C104" s="75" t="n"/>
      <c r="D104" s="109">
        <f t="array" ref="D104:D104">IFERROR(INDEX(GroupLookup,MATCH(C104,CategoryList,0)),"")</f>
        <v/>
      </c>
      <c r="E104" s="110" t="n"/>
      <c r="F104" s="75" t="n"/>
      <c r="G104" s="75" t="n"/>
    </row>
    <row r="105" ht="15.75" customHeight="1" s="52">
      <c r="A105" s="114" t="n"/>
      <c r="B105" s="76" t="n"/>
      <c r="C105" s="76" t="n"/>
      <c r="D105" s="109">
        <f t="array" ref="D105:D105">IFERROR(INDEX(GroupLookup,MATCH(C105,CategoryList,0)),"")</f>
        <v/>
      </c>
      <c r="E105" s="112" t="n"/>
      <c r="F105" s="76" t="n"/>
      <c r="G105" s="76" t="n"/>
    </row>
    <row r="106" ht="15.75" customHeight="1" s="52">
      <c r="A106" s="108" t="n"/>
      <c r="B106" s="75" t="n"/>
      <c r="C106" s="75" t="n"/>
      <c r="D106" s="109">
        <f t="array" ref="D106:D106">IFERROR(INDEX(GroupLookup,MATCH(C106,CategoryList,0)),"")</f>
        <v/>
      </c>
      <c r="E106" s="110" t="n"/>
      <c r="F106" s="75" t="n"/>
      <c r="G106" s="75" t="n"/>
    </row>
    <row r="107" ht="15.75" customHeight="1" s="52">
      <c r="A107" s="114" t="n"/>
      <c r="B107" s="76" t="n"/>
      <c r="C107" s="76" t="n"/>
      <c r="D107" s="109">
        <f t="array" ref="D107:D107">IFERROR(INDEX(GroupLookup,MATCH(C107,CategoryList,0)),"")</f>
        <v/>
      </c>
      <c r="E107" s="112" t="n"/>
      <c r="F107" s="76" t="n"/>
      <c r="G107" s="76" t="n"/>
    </row>
    <row r="108" ht="15.75" customHeight="1" s="52">
      <c r="A108" s="108" t="n"/>
      <c r="B108" s="75" t="n"/>
      <c r="C108" s="75" t="n"/>
      <c r="D108" s="109">
        <f t="array" ref="D108:D108">IFERROR(INDEX(GroupLookup,MATCH(C108,CategoryList,0)),"")</f>
        <v/>
      </c>
      <c r="E108" s="110" t="n"/>
      <c r="F108" s="75" t="n"/>
      <c r="G108" s="75" t="n"/>
    </row>
    <row r="109" ht="15.75" customHeight="1" s="52">
      <c r="A109" s="114" t="n"/>
      <c r="B109" s="76" t="n"/>
      <c r="C109" s="76" t="n"/>
      <c r="D109" s="109">
        <f t="array" ref="D109:D109">IFERROR(INDEX(GroupLookup,MATCH(C109,CategoryList,0)),"")</f>
        <v/>
      </c>
      <c r="E109" s="112" t="n"/>
      <c r="F109" s="76" t="n"/>
      <c r="G109" s="76" t="n"/>
    </row>
    <row r="110" ht="15.75" customHeight="1" s="52">
      <c r="A110" s="108" t="n"/>
      <c r="B110" s="75" t="n"/>
      <c r="C110" s="75" t="n"/>
      <c r="D110" s="109">
        <f t="array" ref="D110:D110">IFERROR(INDEX(GroupLookup,MATCH(C110,CategoryList,0)),"")</f>
        <v/>
      </c>
      <c r="E110" s="110" t="n"/>
      <c r="F110" s="75" t="n"/>
      <c r="G110" s="75" t="n"/>
    </row>
    <row r="111" ht="15.75" customHeight="1" s="52">
      <c r="A111" s="114" t="n"/>
      <c r="B111" s="76" t="n"/>
      <c r="C111" s="76" t="n"/>
      <c r="D111" s="109">
        <f t="array" ref="D111:D111">IFERROR(INDEX(GroupLookup,MATCH(C111,CategoryList,0)),"")</f>
        <v/>
      </c>
      <c r="E111" s="112" t="n"/>
      <c r="F111" s="76" t="n"/>
      <c r="G111" s="76" t="n"/>
    </row>
    <row r="112" ht="15.75" customHeight="1" s="52">
      <c r="A112" s="108" t="n"/>
      <c r="B112" s="75" t="n"/>
      <c r="C112" s="75" t="n"/>
      <c r="D112" s="109">
        <f t="array" ref="D112:D112">IFERROR(INDEX(GroupLookup,MATCH(C112,CategoryList,0)),"")</f>
        <v/>
      </c>
      <c r="E112" s="110" t="n"/>
      <c r="F112" s="75" t="n"/>
      <c r="G112" s="75" t="n"/>
    </row>
    <row r="113" ht="15.75" customHeight="1" s="52">
      <c r="A113" s="114" t="n"/>
      <c r="B113" s="76" t="n"/>
      <c r="C113" s="76" t="n"/>
      <c r="D113" s="109">
        <f t="array" ref="D113:D113">IFERROR(INDEX(GroupLookup,MATCH(C113,CategoryList,0)),"")</f>
        <v/>
      </c>
      <c r="E113" s="112" t="n"/>
      <c r="F113" s="76" t="n"/>
      <c r="G113" s="76" t="n"/>
    </row>
    <row r="114" ht="15.75" customHeight="1" s="52">
      <c r="A114" s="108" t="n"/>
      <c r="B114" s="75" t="n"/>
      <c r="C114" s="75" t="n"/>
      <c r="D114" s="109">
        <f t="array" ref="D114:D114">IFERROR(INDEX(GroupLookup,MATCH(C114,CategoryList,0)),"")</f>
        <v/>
      </c>
      <c r="E114" s="110" t="n"/>
      <c r="F114" s="75" t="n"/>
      <c r="G114" s="75" t="n"/>
    </row>
    <row r="115" ht="15.75" customHeight="1" s="52">
      <c r="A115" s="114" t="n"/>
      <c r="B115" s="76" t="n"/>
      <c r="C115" s="76" t="n"/>
      <c r="D115" s="109">
        <f t="array" ref="D115:D115">IFERROR(INDEX(GroupLookup,MATCH(C115,CategoryList,0)),"")</f>
        <v/>
      </c>
      <c r="E115" s="112" t="n"/>
      <c r="F115" s="76" t="n"/>
      <c r="G115" s="76" t="n"/>
    </row>
    <row r="116" ht="15.75" customHeight="1" s="52">
      <c r="A116" s="108" t="n"/>
      <c r="B116" s="75" t="n"/>
      <c r="C116" s="75" t="n"/>
      <c r="D116" s="109">
        <f t="array" ref="D116:D116">IFERROR(INDEX(GroupLookup,MATCH(C116,CategoryList,0)),"")</f>
        <v/>
      </c>
      <c r="E116" s="110" t="n"/>
      <c r="F116" s="75" t="n"/>
      <c r="G116" s="75" t="n"/>
    </row>
    <row r="117" ht="15.75" customHeight="1" s="52">
      <c r="A117" s="114" t="n"/>
      <c r="B117" s="76" t="n"/>
      <c r="C117" s="76" t="n"/>
      <c r="D117" s="109">
        <f t="array" ref="D117:D117">IFERROR(INDEX(GroupLookup,MATCH(C117,CategoryList,0)),"")</f>
        <v/>
      </c>
      <c r="E117" s="112" t="n"/>
      <c r="F117" s="76" t="n"/>
      <c r="G117" s="76" t="n"/>
    </row>
    <row r="118" ht="15.75" customHeight="1" s="52">
      <c r="A118" s="108" t="n"/>
      <c r="B118" s="75" t="n"/>
      <c r="C118" s="75" t="n"/>
      <c r="D118" s="109">
        <f t="array" ref="D118:D118">IFERROR(INDEX(GroupLookup,MATCH(C118,CategoryList,0)),"")</f>
        <v/>
      </c>
      <c r="E118" s="110" t="n"/>
      <c r="F118" s="75" t="n"/>
      <c r="G118" s="75" t="n"/>
    </row>
    <row r="119" ht="15.75" customHeight="1" s="52">
      <c r="A119" s="114" t="n"/>
      <c r="B119" s="76" t="n"/>
      <c r="C119" s="76" t="n"/>
      <c r="D119" s="109">
        <f t="array" ref="D119:D119">IFERROR(INDEX(GroupLookup,MATCH(C119,CategoryList,0)),"")</f>
        <v/>
      </c>
      <c r="E119" s="112" t="n"/>
      <c r="F119" s="76" t="n"/>
      <c r="G119" s="76" t="n"/>
    </row>
    <row r="120" ht="15.75" customHeight="1" s="52">
      <c r="A120" s="108" t="n"/>
      <c r="B120" s="75" t="n"/>
      <c r="C120" s="75" t="n"/>
      <c r="D120" s="109">
        <f t="array" ref="D120:D120">IFERROR(INDEX(GroupLookup,MATCH(C120,CategoryList,0)),"")</f>
        <v/>
      </c>
      <c r="E120" s="110" t="n"/>
      <c r="F120" s="75" t="n"/>
      <c r="G120" s="75" t="n"/>
    </row>
    <row r="121" ht="15.75" customHeight="1" s="52">
      <c r="A121" s="114" t="n"/>
      <c r="B121" s="76" t="n"/>
      <c r="C121" s="76" t="n"/>
      <c r="D121" s="109">
        <f t="array" ref="D121:D121">IFERROR(INDEX(GroupLookup,MATCH(C121,CategoryList,0)),"")</f>
        <v/>
      </c>
      <c r="E121" s="112" t="n"/>
      <c r="F121" s="76" t="n"/>
      <c r="G121" s="76" t="n"/>
    </row>
    <row r="122" ht="15.75" customHeight="1" s="52">
      <c r="A122" s="108" t="n"/>
      <c r="B122" s="75" t="n"/>
      <c r="C122" s="75" t="n"/>
      <c r="D122" s="109">
        <f t="array" ref="D122:D122">IFERROR(INDEX(GroupLookup,MATCH(C122,CategoryList,0)),"")</f>
        <v/>
      </c>
      <c r="E122" s="110" t="n"/>
      <c r="F122" s="75" t="n"/>
      <c r="G122" s="75" t="n"/>
    </row>
    <row r="123" ht="15.75" customHeight="1" s="52">
      <c r="A123" s="114" t="n"/>
      <c r="B123" s="76" t="n"/>
      <c r="C123" s="76" t="n"/>
      <c r="D123" s="109">
        <f t="array" ref="D123:D123">IFERROR(INDEX(GroupLookup,MATCH(C123,CategoryList,0)),"")</f>
        <v/>
      </c>
      <c r="E123" s="112" t="n"/>
      <c r="F123" s="76" t="n"/>
      <c r="G123" s="76" t="n"/>
    </row>
    <row r="124" ht="15.75" customHeight="1" s="52">
      <c r="A124" s="108" t="n"/>
      <c r="B124" s="75" t="n"/>
      <c r="C124" s="75" t="n"/>
      <c r="D124" s="109">
        <f t="array" ref="D124:D124">IFERROR(INDEX(GroupLookup,MATCH(C124,CategoryList,0)),"")</f>
        <v/>
      </c>
      <c r="E124" s="110" t="n"/>
      <c r="F124" s="75" t="n"/>
      <c r="G124" s="75" t="n"/>
    </row>
    <row r="125" ht="15.75" customHeight="1" s="52">
      <c r="A125" s="114" t="n"/>
      <c r="B125" s="76" t="n"/>
      <c r="C125" s="76" t="n"/>
      <c r="D125" s="109">
        <f t="array" ref="D125:D125">IFERROR(INDEX(GroupLookup,MATCH(C125,CategoryList,0)),"")</f>
        <v/>
      </c>
      <c r="E125" s="112" t="n"/>
      <c r="F125" s="76" t="n"/>
      <c r="G125" s="76" t="n"/>
    </row>
    <row r="126" ht="15.75" customHeight="1" s="52">
      <c r="A126" s="108" t="n"/>
      <c r="B126" s="75" t="n"/>
      <c r="C126" s="75" t="n"/>
      <c r="D126" s="109">
        <f t="array" ref="D126:D126">IFERROR(INDEX(GroupLookup,MATCH(C126,CategoryList,0)),"")</f>
        <v/>
      </c>
      <c r="E126" s="110" t="n"/>
      <c r="F126" s="75" t="n"/>
      <c r="G126" s="75" t="n"/>
    </row>
    <row r="127" ht="15.75" customHeight="1" s="52">
      <c r="A127" s="114" t="n"/>
      <c r="B127" s="76" t="n"/>
      <c r="C127" s="76" t="n"/>
      <c r="D127" s="109">
        <f t="array" ref="D127:D127">IFERROR(INDEX(GroupLookup,MATCH(C127,CategoryList,0)),"")</f>
        <v/>
      </c>
      <c r="E127" s="112" t="n"/>
      <c r="F127" s="76" t="n"/>
      <c r="G127" s="76" t="n"/>
    </row>
    <row r="128" ht="15.75" customHeight="1" s="52">
      <c r="A128" s="108" t="n"/>
      <c r="B128" s="75" t="n"/>
      <c r="C128" s="75" t="n"/>
      <c r="D128" s="109">
        <f t="array" ref="D128:D128">IFERROR(INDEX(GroupLookup,MATCH(C128,CategoryList,0)),"")</f>
        <v/>
      </c>
      <c r="E128" s="110" t="n"/>
      <c r="F128" s="75" t="n"/>
      <c r="G128" s="75" t="n"/>
    </row>
    <row r="129" ht="15.75" customHeight="1" s="52">
      <c r="A129" s="114" t="n"/>
      <c r="B129" s="76" t="n"/>
      <c r="C129" s="76" t="n"/>
      <c r="D129" s="109">
        <f t="array" ref="D129:D129">IFERROR(INDEX(GroupLookup,MATCH(C129,CategoryList,0)),"")</f>
        <v/>
      </c>
      <c r="E129" s="112" t="n"/>
      <c r="F129" s="76" t="n"/>
      <c r="G129" s="76" t="n"/>
    </row>
    <row r="130" ht="15.75" customHeight="1" s="52">
      <c r="A130" s="108" t="n"/>
      <c r="B130" s="75" t="n"/>
      <c r="C130" s="75" t="n"/>
      <c r="D130" s="109">
        <f t="array" ref="D130:D130">IFERROR(INDEX(GroupLookup,MATCH(C130,CategoryList,0)),"")</f>
        <v/>
      </c>
      <c r="E130" s="110" t="n"/>
      <c r="F130" s="75" t="n"/>
      <c r="G130" s="75" t="n"/>
    </row>
    <row r="131" ht="15.75" customHeight="1" s="52">
      <c r="A131" s="114" t="n"/>
      <c r="B131" s="76" t="n"/>
      <c r="C131" s="76" t="n"/>
      <c r="D131" s="109">
        <f t="array" ref="D131:D131">IFERROR(INDEX(GroupLookup,MATCH(C131,CategoryList,0)),"")</f>
        <v/>
      </c>
      <c r="E131" s="112" t="n"/>
      <c r="F131" s="76" t="n"/>
      <c r="G131" s="76" t="n"/>
    </row>
    <row r="132" ht="15.75" customHeight="1" s="52">
      <c r="A132" s="108" t="n"/>
      <c r="B132" s="75" t="n"/>
      <c r="C132" s="75" t="n"/>
      <c r="D132" s="109">
        <f t="array" ref="D132:D132">IFERROR(INDEX(GroupLookup,MATCH(C132,CategoryList,0)),"")</f>
        <v/>
      </c>
      <c r="E132" s="110" t="n"/>
      <c r="F132" s="75" t="n"/>
      <c r="G132" s="75" t="n"/>
    </row>
    <row r="133" ht="15.75" customHeight="1" s="52">
      <c r="A133" s="114" t="n"/>
      <c r="B133" s="76" t="n"/>
      <c r="C133" s="76" t="n"/>
      <c r="D133" s="109">
        <f t="array" ref="D133:D133">IFERROR(INDEX(GroupLookup,MATCH(C133,CategoryList,0)),"")</f>
        <v/>
      </c>
      <c r="E133" s="112" t="n"/>
      <c r="F133" s="76" t="n"/>
      <c r="G133" s="76" t="n"/>
    </row>
    <row r="134" ht="15.75" customHeight="1" s="52">
      <c r="A134" s="108" t="n"/>
      <c r="B134" s="75" t="n"/>
      <c r="C134" s="75" t="n"/>
      <c r="D134" s="109">
        <f t="array" ref="D134:D134">IFERROR(INDEX(GroupLookup,MATCH(C134,CategoryList,0)),"")</f>
        <v/>
      </c>
      <c r="E134" s="110" t="n"/>
      <c r="F134" s="75" t="n"/>
      <c r="G134" s="75" t="n"/>
    </row>
    <row r="135" ht="15.75" customHeight="1" s="52">
      <c r="A135" s="114" t="n"/>
      <c r="B135" s="76" t="n"/>
      <c r="C135" s="76" t="n"/>
      <c r="D135" s="109">
        <f t="array" ref="D135:D135">IFERROR(INDEX(GroupLookup,MATCH(C135,CategoryList,0)),"")</f>
        <v/>
      </c>
      <c r="E135" s="112" t="n"/>
      <c r="F135" s="76" t="n"/>
      <c r="G135" s="76" t="n"/>
    </row>
    <row r="136" ht="15.75" customHeight="1" s="52">
      <c r="A136" s="108" t="n"/>
      <c r="B136" s="75" t="n"/>
      <c r="C136" s="75" t="n"/>
      <c r="D136" s="109">
        <f t="array" ref="D136:D136">IFERROR(INDEX(GroupLookup,MATCH(C136,CategoryList,0)),"")</f>
        <v/>
      </c>
      <c r="E136" s="110" t="n"/>
      <c r="F136" s="75" t="n"/>
      <c r="G136" s="75" t="n"/>
    </row>
    <row r="137" ht="15.75" customHeight="1" s="52">
      <c r="A137" s="114" t="n"/>
      <c r="B137" s="76" t="n"/>
      <c r="C137" s="76" t="n"/>
      <c r="D137" s="109">
        <f t="array" ref="D137:D137">IFERROR(INDEX(GroupLookup,MATCH(C137,CategoryList,0)),"")</f>
        <v/>
      </c>
      <c r="E137" s="112" t="n"/>
      <c r="F137" s="76" t="n"/>
      <c r="G137" s="76" t="n"/>
    </row>
    <row r="138" ht="15.75" customHeight="1" s="52">
      <c r="A138" s="108" t="n"/>
      <c r="B138" s="75" t="n"/>
      <c r="C138" s="75" t="n"/>
      <c r="D138" s="109">
        <f t="array" ref="D138:D138">IFERROR(INDEX(GroupLookup,MATCH(C138,CategoryList,0)),"")</f>
        <v/>
      </c>
      <c r="E138" s="110" t="n"/>
      <c r="F138" s="75" t="n"/>
      <c r="G138" s="75" t="n"/>
    </row>
    <row r="139" ht="15.75" customHeight="1" s="52">
      <c r="A139" s="114" t="n"/>
      <c r="B139" s="76" t="n"/>
      <c r="C139" s="76" t="n"/>
      <c r="D139" s="109">
        <f t="array" ref="D139:D139">IFERROR(INDEX(GroupLookup,MATCH(C139,CategoryList,0)),"")</f>
        <v/>
      </c>
      <c r="E139" s="112" t="n"/>
      <c r="F139" s="76" t="n"/>
      <c r="G139" s="76" t="n"/>
    </row>
    <row r="140" ht="15.75" customHeight="1" s="52">
      <c r="A140" s="108" t="n"/>
      <c r="B140" s="75" t="n"/>
      <c r="C140" s="75" t="n"/>
      <c r="D140" s="109">
        <f t="array" ref="D140:D140">IFERROR(INDEX(GroupLookup,MATCH(C140,CategoryList,0)),"")</f>
        <v/>
      </c>
      <c r="E140" s="110" t="n"/>
      <c r="F140" s="75" t="n"/>
      <c r="G140" s="75" t="n"/>
    </row>
    <row r="141" ht="15.75" customHeight="1" s="52">
      <c r="A141" s="114" t="n"/>
      <c r="B141" s="76" t="n"/>
      <c r="C141" s="76" t="n"/>
      <c r="D141" s="109">
        <f t="array" ref="D141:D141">IFERROR(INDEX(GroupLookup,MATCH(C141,CategoryList,0)),"")</f>
        <v/>
      </c>
      <c r="E141" s="112" t="n"/>
      <c r="F141" s="76" t="n"/>
      <c r="G141" s="76" t="n"/>
    </row>
    <row r="142" ht="15.75" customHeight="1" s="52">
      <c r="A142" s="108" t="n"/>
      <c r="B142" s="75" t="n"/>
      <c r="C142" s="75" t="n"/>
      <c r="D142" s="109">
        <f t="array" ref="D142:D142">IFERROR(INDEX(GroupLookup,MATCH(C142,CategoryList,0)),"")</f>
        <v/>
      </c>
      <c r="E142" s="110" t="n"/>
      <c r="F142" s="75" t="n"/>
      <c r="G142" s="75" t="n"/>
    </row>
    <row r="143" ht="15.75" customHeight="1" s="52">
      <c r="A143" s="114" t="n"/>
      <c r="B143" s="76" t="n"/>
      <c r="C143" s="76" t="n"/>
      <c r="D143" s="109">
        <f t="array" ref="D143:D143">IFERROR(INDEX(GroupLookup,MATCH(C143,CategoryList,0)),"")</f>
        <v/>
      </c>
      <c r="E143" s="112" t="n"/>
      <c r="F143" s="76" t="n"/>
      <c r="G143" s="76" t="n"/>
    </row>
    <row r="144" ht="15.75" customHeight="1" s="52">
      <c r="A144" s="108" t="n"/>
      <c r="B144" s="75" t="n"/>
      <c r="C144" s="75" t="n"/>
      <c r="D144" s="109">
        <f t="array" ref="D144:D144">IFERROR(INDEX(GroupLookup,MATCH(C144,CategoryList,0)),"")</f>
        <v/>
      </c>
      <c r="E144" s="110" t="n"/>
      <c r="F144" s="75" t="n"/>
      <c r="G144" s="75" t="n"/>
    </row>
    <row r="145" ht="15.75" customHeight="1" s="52">
      <c r="A145" s="114" t="n"/>
      <c r="B145" s="76" t="n"/>
      <c r="C145" s="76" t="n"/>
      <c r="D145" s="109">
        <f t="array" ref="D145:D145">IFERROR(INDEX(GroupLookup,MATCH(C145,CategoryList,0)),"")</f>
        <v/>
      </c>
      <c r="E145" s="112" t="n"/>
      <c r="F145" s="76" t="n"/>
      <c r="G145" s="76" t="n"/>
    </row>
    <row r="146" ht="15.75" customHeight="1" s="52">
      <c r="A146" s="108" t="n"/>
      <c r="B146" s="75" t="n"/>
      <c r="C146" s="75" t="n"/>
      <c r="D146" s="109">
        <f t="array" ref="D146:D146">IFERROR(INDEX(GroupLookup,MATCH(C146,CategoryList,0)),"")</f>
        <v/>
      </c>
      <c r="E146" s="110" t="n"/>
      <c r="F146" s="75" t="n"/>
      <c r="G146" s="75" t="n"/>
    </row>
    <row r="147" ht="15.75" customHeight="1" s="52">
      <c r="A147" s="114" t="n"/>
      <c r="B147" s="76" t="n"/>
      <c r="C147" s="76" t="n"/>
      <c r="D147" s="109">
        <f t="array" ref="D147:D147">IFERROR(INDEX(GroupLookup,MATCH(C147,CategoryList,0)),"")</f>
        <v/>
      </c>
      <c r="E147" s="112" t="n"/>
      <c r="F147" s="76" t="n"/>
      <c r="G147" s="76" t="n"/>
    </row>
    <row r="148" ht="15.75" customHeight="1" s="52">
      <c r="A148" s="108" t="n"/>
      <c r="B148" s="75" t="n"/>
      <c r="C148" s="75" t="n"/>
      <c r="D148" s="109">
        <f t="array" ref="D148:D148">IFERROR(INDEX(GroupLookup,MATCH(C148,CategoryList,0)),"")</f>
        <v/>
      </c>
      <c r="E148" s="110" t="n"/>
      <c r="F148" s="75" t="n"/>
      <c r="G148" s="75" t="n"/>
    </row>
    <row r="149" ht="15.75" customHeight="1" s="52">
      <c r="A149" s="114" t="n"/>
      <c r="B149" s="76" t="n"/>
      <c r="C149" s="76" t="n"/>
      <c r="D149" s="109">
        <f t="array" ref="D149:D149">IFERROR(INDEX(GroupLookup,MATCH(C149,CategoryList,0)),"")</f>
        <v/>
      </c>
      <c r="E149" s="112" t="n"/>
      <c r="F149" s="76" t="n"/>
      <c r="G149" s="76" t="n"/>
    </row>
    <row r="150" ht="15.75" customHeight="1" s="52">
      <c r="A150" s="108" t="n"/>
      <c r="B150" s="75" t="n"/>
      <c r="C150" s="75" t="n"/>
      <c r="D150" s="109">
        <f t="array" ref="D150:D150">IFERROR(INDEX(GroupLookup,MATCH(C150,CategoryList,0)),"")</f>
        <v/>
      </c>
      <c r="E150" s="110" t="n"/>
      <c r="F150" s="75" t="n"/>
      <c r="G150" s="75" t="n"/>
    </row>
    <row r="151" ht="15.75" customHeight="1" s="52">
      <c r="A151" s="114" t="n"/>
      <c r="B151" s="76" t="n"/>
      <c r="C151" s="76" t="n"/>
      <c r="D151" s="109">
        <f t="array" ref="D151:D151">IFERROR(INDEX(GroupLookup,MATCH(C151,CategoryList,0)),"")</f>
        <v/>
      </c>
      <c r="E151" s="112" t="n"/>
      <c r="F151" s="76" t="n"/>
      <c r="G151" s="76" t="n"/>
    </row>
    <row r="152" ht="15.75" customHeight="1" s="52">
      <c r="A152" s="108" t="n"/>
      <c r="B152" s="75" t="n"/>
      <c r="C152" s="75" t="n"/>
      <c r="D152" s="109">
        <f t="array" ref="D152:D152">IFERROR(INDEX(GroupLookup,MATCH(C152,CategoryList,0)),"")</f>
        <v/>
      </c>
      <c r="E152" s="110" t="n"/>
      <c r="F152" s="75" t="n"/>
      <c r="G152" s="75" t="n"/>
    </row>
    <row r="153" ht="15.75" customHeight="1" s="52">
      <c r="A153" s="114" t="n"/>
      <c r="B153" s="76" t="n"/>
      <c r="C153" s="76" t="n"/>
      <c r="D153" s="109">
        <f t="array" ref="D153:D153">IFERROR(INDEX(GroupLookup,MATCH(C153,CategoryList,0)),"")</f>
        <v/>
      </c>
      <c r="E153" s="112" t="n"/>
      <c r="F153" s="76" t="n"/>
      <c r="G153" s="76" t="n"/>
    </row>
    <row r="154" ht="15.75" customHeight="1" s="52">
      <c r="A154" s="108" t="n"/>
      <c r="B154" s="75" t="n"/>
      <c r="C154" s="75" t="n"/>
      <c r="D154" s="109">
        <f t="array" ref="D154:D154">IFERROR(INDEX(GroupLookup,MATCH(C154,CategoryList,0)),"")</f>
        <v/>
      </c>
      <c r="E154" s="110" t="n"/>
      <c r="F154" s="75" t="n"/>
      <c r="G154" s="75" t="n"/>
    </row>
    <row r="155" ht="15.75" customHeight="1" s="52">
      <c r="A155" s="114" t="n"/>
      <c r="B155" s="76" t="n"/>
      <c r="C155" s="76" t="n"/>
      <c r="D155" s="109">
        <f t="array" ref="D155:D155">IFERROR(INDEX(GroupLookup,MATCH(C155,CategoryList,0)),"")</f>
        <v/>
      </c>
      <c r="E155" s="112" t="n"/>
      <c r="F155" s="76" t="n"/>
      <c r="G155" s="76" t="n"/>
    </row>
    <row r="156" ht="15.75" customHeight="1" s="52">
      <c r="A156" s="108" t="n"/>
      <c r="B156" s="75" t="n"/>
      <c r="C156" s="75" t="n"/>
      <c r="D156" s="109">
        <f t="array" ref="D156:D156">IFERROR(INDEX(GroupLookup,MATCH(C156,CategoryList,0)),"")</f>
        <v/>
      </c>
      <c r="E156" s="110" t="n"/>
      <c r="F156" s="75" t="n"/>
      <c r="G156" s="75" t="n"/>
    </row>
    <row r="157" ht="15.75" customHeight="1" s="52">
      <c r="A157" s="114" t="n"/>
      <c r="B157" s="76" t="n"/>
      <c r="C157" s="76" t="n"/>
      <c r="D157" s="109">
        <f t="array" ref="D157:D157">IFERROR(INDEX(GroupLookup,MATCH(C157,CategoryList,0)),"")</f>
        <v/>
      </c>
      <c r="E157" s="112" t="n"/>
      <c r="F157" s="76" t="n"/>
      <c r="G157" s="76" t="n"/>
    </row>
    <row r="158" ht="15.75" customHeight="1" s="52">
      <c r="A158" s="108" t="n"/>
      <c r="B158" s="75" t="n"/>
      <c r="C158" s="75" t="n"/>
      <c r="D158" s="109">
        <f t="array" ref="D158:D158">IFERROR(INDEX(GroupLookup,MATCH(C158,CategoryList,0)),"")</f>
        <v/>
      </c>
      <c r="E158" s="110" t="n"/>
      <c r="F158" s="75" t="n"/>
      <c r="G158" s="75" t="n"/>
    </row>
    <row r="159" ht="15.75" customHeight="1" s="52">
      <c r="A159" s="114" t="n"/>
      <c r="B159" s="76" t="n"/>
      <c r="C159" s="76" t="n"/>
      <c r="D159" s="109">
        <f t="array" ref="D159:D159">IFERROR(INDEX(GroupLookup,MATCH(C159,CategoryList,0)),"")</f>
        <v/>
      </c>
      <c r="E159" s="112" t="n"/>
      <c r="F159" s="76" t="n"/>
      <c r="G159" s="76" t="n"/>
    </row>
    <row r="160" ht="15.75" customHeight="1" s="52">
      <c r="A160" s="108" t="n"/>
      <c r="B160" s="75" t="n"/>
      <c r="C160" s="75" t="n"/>
      <c r="D160" s="109">
        <f t="array" ref="D160:D160">IFERROR(INDEX(GroupLookup,MATCH(C160,CategoryList,0)),"")</f>
        <v/>
      </c>
      <c r="E160" s="110" t="n"/>
      <c r="F160" s="75" t="n"/>
      <c r="G160" s="75" t="n"/>
    </row>
    <row r="161" ht="15.75" customHeight="1" s="52">
      <c r="A161" s="114" t="n"/>
      <c r="B161" s="76" t="n"/>
      <c r="C161" s="76" t="n"/>
      <c r="D161" s="109">
        <f t="array" ref="D161:D161">IFERROR(INDEX(GroupLookup,MATCH(C161,CategoryList,0)),"")</f>
        <v/>
      </c>
      <c r="E161" s="112" t="n"/>
      <c r="F161" s="76" t="n"/>
      <c r="G161" s="76" t="n"/>
    </row>
    <row r="162" ht="15.75" customHeight="1" s="52">
      <c r="A162" s="108" t="n"/>
      <c r="B162" s="75" t="n"/>
      <c r="C162" s="75" t="n"/>
      <c r="D162" s="109">
        <f t="array" ref="D162:D162">IFERROR(INDEX(GroupLookup,MATCH(C162,CategoryList,0)),"")</f>
        <v/>
      </c>
      <c r="E162" s="110" t="n"/>
      <c r="F162" s="75" t="n"/>
      <c r="G162" s="75" t="n"/>
    </row>
    <row r="163" ht="15.75" customHeight="1" s="52">
      <c r="A163" s="114" t="n"/>
      <c r="B163" s="76" t="n"/>
      <c r="C163" s="76" t="n"/>
      <c r="D163" s="109">
        <f t="array" ref="D163:D163">IFERROR(INDEX(GroupLookup,MATCH(C163,CategoryList,0)),"")</f>
        <v/>
      </c>
      <c r="E163" s="112" t="n"/>
      <c r="F163" s="76" t="n"/>
      <c r="G163" s="76" t="n"/>
    </row>
    <row r="164" ht="15.75" customHeight="1" s="52">
      <c r="A164" s="108" t="n"/>
      <c r="B164" s="75" t="n"/>
      <c r="C164" s="75" t="n"/>
      <c r="D164" s="109">
        <f t="array" ref="D164:D164">IFERROR(INDEX(GroupLookup,MATCH(C164,CategoryList,0)),"")</f>
        <v/>
      </c>
      <c r="E164" s="110" t="n"/>
      <c r="F164" s="75" t="n"/>
      <c r="G164" s="75" t="n"/>
    </row>
    <row r="165" ht="15.75" customHeight="1" s="52">
      <c r="A165" s="114" t="n"/>
      <c r="B165" s="76" t="n"/>
      <c r="C165" s="76" t="n"/>
      <c r="D165" s="109">
        <f t="array" ref="D165:D165">IFERROR(INDEX(GroupLookup,MATCH(C165,CategoryList,0)),"")</f>
        <v/>
      </c>
      <c r="E165" s="112" t="n"/>
      <c r="F165" s="76" t="n"/>
      <c r="G165" s="76" t="n"/>
    </row>
    <row r="166" ht="15.75" customHeight="1" s="52">
      <c r="A166" s="108" t="n"/>
      <c r="B166" s="75" t="n"/>
      <c r="C166" s="75" t="n"/>
      <c r="D166" s="109">
        <f t="array" ref="D166:D166">IFERROR(INDEX(GroupLookup,MATCH(C166,CategoryList,0)),"")</f>
        <v/>
      </c>
      <c r="E166" s="110" t="n"/>
      <c r="F166" s="75" t="n"/>
      <c r="G166" s="75" t="n"/>
    </row>
    <row r="167" ht="15.75" customHeight="1" s="52">
      <c r="A167" s="114" t="n"/>
      <c r="B167" s="76" t="n"/>
      <c r="C167" s="76" t="n"/>
      <c r="D167" s="109">
        <f t="array" ref="D167:D167">IFERROR(INDEX(GroupLookup,MATCH(C167,CategoryList,0)),"")</f>
        <v/>
      </c>
      <c r="E167" s="112" t="n"/>
      <c r="F167" s="76" t="n"/>
      <c r="G167" s="76" t="n"/>
    </row>
    <row r="168" ht="15.75" customHeight="1" s="52">
      <c r="A168" s="108" t="n"/>
      <c r="B168" s="75" t="n"/>
      <c r="C168" s="75" t="n"/>
      <c r="D168" s="109">
        <f t="array" ref="D168:D168">IFERROR(INDEX(GroupLookup,MATCH(C168,CategoryList,0)),"")</f>
        <v/>
      </c>
      <c r="E168" s="110" t="n"/>
      <c r="F168" s="75" t="n"/>
      <c r="G168" s="75" t="n"/>
    </row>
    <row r="169" ht="15.75" customHeight="1" s="52">
      <c r="A169" s="114" t="n"/>
      <c r="B169" s="76" t="n"/>
      <c r="C169" s="76" t="n"/>
      <c r="D169" s="109">
        <f t="array" ref="D169:D169">IFERROR(INDEX(GroupLookup,MATCH(C169,CategoryList,0)),"")</f>
        <v/>
      </c>
      <c r="E169" s="112" t="n"/>
      <c r="F169" s="76" t="n"/>
      <c r="G169" s="76" t="n"/>
    </row>
    <row r="170" ht="15.75" customHeight="1" s="52">
      <c r="A170" s="108" t="n"/>
      <c r="B170" s="75" t="n"/>
      <c r="C170" s="75" t="n"/>
      <c r="D170" s="109">
        <f t="array" ref="D170:D170">IFERROR(INDEX(GroupLookup,MATCH(C170,CategoryList,0)),"")</f>
        <v/>
      </c>
      <c r="E170" s="110" t="n"/>
      <c r="F170" s="75" t="n"/>
      <c r="G170" s="75" t="n"/>
    </row>
    <row r="171" ht="15.75" customHeight="1" s="52">
      <c r="A171" s="114" t="n"/>
      <c r="B171" s="76" t="n"/>
      <c r="C171" s="76" t="n"/>
      <c r="D171" s="109">
        <f t="array" ref="D171:D171">IFERROR(INDEX(GroupLookup,MATCH(C171,CategoryList,0)),"")</f>
        <v/>
      </c>
      <c r="E171" s="112" t="n"/>
      <c r="F171" s="76" t="n"/>
      <c r="G171" s="76" t="n"/>
    </row>
    <row r="172" ht="15.75" customHeight="1" s="52">
      <c r="A172" s="108" t="n"/>
      <c r="B172" s="75" t="n"/>
      <c r="C172" s="75" t="n"/>
      <c r="D172" s="109">
        <f t="array" ref="D172:D172">IFERROR(INDEX(GroupLookup,MATCH(C172,CategoryList,0)),"")</f>
        <v/>
      </c>
      <c r="E172" s="110" t="n"/>
      <c r="F172" s="75" t="n"/>
      <c r="G172" s="75" t="n"/>
    </row>
    <row r="173" ht="15.75" customHeight="1" s="52">
      <c r="A173" s="114" t="n"/>
      <c r="B173" s="76" t="n"/>
      <c r="C173" s="76" t="n"/>
      <c r="D173" s="109">
        <f t="array" ref="D173:D173">IFERROR(INDEX(GroupLookup,MATCH(C173,CategoryList,0)),"")</f>
        <v/>
      </c>
      <c r="E173" s="112" t="n"/>
      <c r="F173" s="76" t="n"/>
      <c r="G173" s="76" t="n"/>
    </row>
    <row r="174" ht="15.75" customHeight="1" s="52">
      <c r="A174" s="108" t="n"/>
      <c r="B174" s="75" t="n"/>
      <c r="C174" s="75" t="n"/>
      <c r="D174" s="109">
        <f t="array" ref="D174:D174">IFERROR(INDEX(GroupLookup,MATCH(C174,CategoryList,0)),"")</f>
        <v/>
      </c>
      <c r="E174" s="110" t="n"/>
      <c r="F174" s="75" t="n"/>
      <c r="G174" s="75" t="n"/>
    </row>
    <row r="175" ht="15.75" customHeight="1" s="52">
      <c r="A175" s="114" t="n"/>
      <c r="B175" s="76" t="n"/>
      <c r="C175" s="76" t="n"/>
      <c r="D175" s="109">
        <f t="array" ref="D175:D175">IFERROR(INDEX(GroupLookup,MATCH(C175,CategoryList,0)),"")</f>
        <v/>
      </c>
      <c r="E175" s="112" t="n"/>
      <c r="F175" s="76" t="n"/>
      <c r="G175" s="76" t="n"/>
    </row>
    <row r="176" ht="15.75" customHeight="1" s="52">
      <c r="A176" s="108" t="n"/>
      <c r="B176" s="75" t="n"/>
      <c r="C176" s="75" t="n"/>
      <c r="D176" s="109">
        <f t="array" ref="D176:D176">IFERROR(INDEX(GroupLookup,MATCH(C176,CategoryList,0)),"")</f>
        <v/>
      </c>
      <c r="E176" s="110" t="n"/>
      <c r="F176" s="75" t="n"/>
      <c r="G176" s="75" t="n"/>
    </row>
    <row r="177" ht="15.75" customHeight="1" s="52">
      <c r="A177" s="114" t="n"/>
      <c r="B177" s="76" t="n"/>
      <c r="C177" s="76" t="n"/>
      <c r="D177" s="109">
        <f t="array" ref="D177:D177">IFERROR(INDEX(GroupLookup,MATCH(C177,CategoryList,0)),"")</f>
        <v/>
      </c>
      <c r="E177" s="112" t="n"/>
      <c r="F177" s="76" t="n"/>
      <c r="G177" s="76" t="n"/>
    </row>
    <row r="178" ht="15.75" customHeight="1" s="52">
      <c r="A178" s="108" t="n"/>
      <c r="B178" s="75" t="n"/>
      <c r="C178" s="75" t="n"/>
      <c r="D178" s="109">
        <f t="array" ref="D178:D178">IFERROR(INDEX(GroupLookup,MATCH(C178,CategoryList,0)),"")</f>
        <v/>
      </c>
      <c r="E178" s="110" t="n"/>
      <c r="F178" s="75" t="n"/>
      <c r="G178" s="75" t="n"/>
    </row>
    <row r="179" ht="15.75" customHeight="1" s="52">
      <c r="A179" s="114" t="n"/>
      <c r="B179" s="76" t="n"/>
      <c r="C179" s="76" t="n"/>
      <c r="D179" s="109">
        <f t="array" ref="D179:D179">IFERROR(INDEX(GroupLookup,MATCH(C179,CategoryList,0)),"")</f>
        <v/>
      </c>
      <c r="E179" s="112" t="n"/>
      <c r="F179" s="76" t="n"/>
      <c r="G179" s="76" t="n"/>
    </row>
    <row r="180" ht="15.75" customHeight="1" s="52">
      <c r="A180" s="108" t="n"/>
      <c r="B180" s="75" t="n"/>
      <c r="C180" s="75" t="n"/>
      <c r="D180" s="109">
        <f t="array" ref="D180:D180">IFERROR(INDEX(GroupLookup,MATCH(C180,CategoryList,0)),"")</f>
        <v/>
      </c>
      <c r="E180" s="110" t="n"/>
      <c r="F180" s="75" t="n"/>
      <c r="G180" s="75" t="n"/>
    </row>
    <row r="181" ht="15.75" customHeight="1" s="52">
      <c r="A181" s="114" t="n"/>
      <c r="B181" s="76" t="n"/>
      <c r="C181" s="76" t="n"/>
      <c r="D181" s="109">
        <f t="array" ref="D181:D181">IFERROR(INDEX(GroupLookup,MATCH(C181,CategoryList,0)),"")</f>
        <v/>
      </c>
      <c r="E181" s="112" t="n"/>
      <c r="F181" s="76" t="n"/>
      <c r="G181" s="76" t="n"/>
    </row>
    <row r="182" ht="15.75" customHeight="1" s="52">
      <c r="A182" s="108" t="n"/>
      <c r="B182" s="75" t="n"/>
      <c r="C182" s="75" t="n"/>
      <c r="D182" s="109">
        <f t="array" ref="D182:D182">IFERROR(INDEX(GroupLookup,MATCH(C182,CategoryList,0)),"")</f>
        <v/>
      </c>
      <c r="E182" s="110" t="n"/>
      <c r="F182" s="75" t="n"/>
      <c r="G182" s="75" t="n"/>
    </row>
    <row r="183" ht="15.75" customHeight="1" s="52">
      <c r="A183" s="114" t="n"/>
      <c r="B183" s="76" t="n"/>
      <c r="C183" s="76" t="n"/>
      <c r="D183" s="109">
        <f t="array" ref="D183:D183">IFERROR(INDEX(GroupLookup,MATCH(C183,CategoryList,0)),"")</f>
        <v/>
      </c>
      <c r="E183" s="112" t="n"/>
      <c r="F183" s="76" t="n"/>
      <c r="G183" s="76" t="n"/>
    </row>
    <row r="184" ht="15.75" customHeight="1" s="52">
      <c r="A184" s="108" t="n"/>
      <c r="B184" s="75" t="n"/>
      <c r="C184" s="75" t="n"/>
      <c r="D184" s="109">
        <f t="array" ref="D184:D184">IFERROR(INDEX(GroupLookup,MATCH(C184,CategoryList,0)),"")</f>
        <v/>
      </c>
      <c r="E184" s="110" t="n"/>
      <c r="F184" s="75" t="n"/>
      <c r="G184" s="75" t="n"/>
    </row>
    <row r="185" ht="15.75" customHeight="1" s="52">
      <c r="A185" s="114" t="n"/>
      <c r="B185" s="76" t="n"/>
      <c r="C185" s="76" t="n"/>
      <c r="D185" s="109">
        <f t="array" ref="D185:D185">IFERROR(INDEX(GroupLookup,MATCH(C185,CategoryList,0)),"")</f>
        <v/>
      </c>
      <c r="E185" s="112" t="n"/>
      <c r="F185" s="76" t="n"/>
      <c r="G185" s="76" t="n"/>
    </row>
    <row r="186" ht="15.75" customHeight="1" s="52">
      <c r="A186" s="108" t="n"/>
      <c r="B186" s="75" t="n"/>
      <c r="C186" s="75" t="n"/>
      <c r="D186" s="109">
        <f t="array" ref="D186:D186">IFERROR(INDEX(GroupLookup,MATCH(C186,CategoryList,0)),"")</f>
        <v/>
      </c>
      <c r="E186" s="110" t="n"/>
      <c r="F186" s="75" t="n"/>
      <c r="G186" s="75" t="n"/>
    </row>
    <row r="187" ht="15.75" customHeight="1" s="52">
      <c r="A187" s="114" t="n"/>
      <c r="B187" s="76" t="n"/>
      <c r="C187" s="76" t="n"/>
      <c r="D187" s="109">
        <f t="array" ref="D187:D187">IFERROR(INDEX(GroupLookup,MATCH(C187,CategoryList,0)),"")</f>
        <v/>
      </c>
      <c r="E187" s="112" t="n"/>
      <c r="F187" s="76" t="n"/>
      <c r="G187" s="76" t="n"/>
    </row>
    <row r="188" ht="15.75" customHeight="1" s="52">
      <c r="A188" s="108" t="n"/>
      <c r="B188" s="75" t="n"/>
      <c r="C188" s="75" t="n"/>
      <c r="D188" s="109">
        <f t="array" ref="D188:D188">IFERROR(INDEX(GroupLookup,MATCH(C188,CategoryList,0)),"")</f>
        <v/>
      </c>
      <c r="E188" s="110" t="n"/>
      <c r="F188" s="75" t="n"/>
      <c r="G188" s="75" t="n"/>
    </row>
    <row r="189" ht="15.75" customHeight="1" s="52">
      <c r="A189" s="114" t="n"/>
      <c r="B189" s="76" t="n"/>
      <c r="C189" s="76" t="n"/>
      <c r="D189" s="109">
        <f t="array" ref="D189:D189">IFERROR(INDEX(GroupLookup,MATCH(C189,CategoryList,0)),"")</f>
        <v/>
      </c>
      <c r="E189" s="112" t="n"/>
      <c r="F189" s="76" t="n"/>
      <c r="G189" s="76" t="n"/>
    </row>
    <row r="190" ht="15.75" customHeight="1" s="52">
      <c r="A190" s="108" t="n"/>
      <c r="B190" s="75" t="n"/>
      <c r="C190" s="75" t="n"/>
      <c r="D190" s="109">
        <f t="array" ref="D190:D190">IFERROR(INDEX(GroupLookup,MATCH(C190,CategoryList,0)),"")</f>
        <v/>
      </c>
      <c r="E190" s="110" t="n"/>
      <c r="F190" s="75" t="n"/>
      <c r="G190" s="75" t="n"/>
    </row>
    <row r="191" ht="15.75" customHeight="1" s="52">
      <c r="A191" s="114" t="n"/>
      <c r="B191" s="76" t="n"/>
      <c r="C191" s="76" t="n"/>
      <c r="D191" s="109">
        <f t="array" ref="D191:D191">IFERROR(INDEX(GroupLookup,MATCH(C191,CategoryList,0)),"")</f>
        <v/>
      </c>
      <c r="E191" s="112" t="n"/>
      <c r="F191" s="76" t="n"/>
      <c r="G191" s="76" t="n"/>
    </row>
    <row r="192" ht="15.75" customHeight="1" s="52">
      <c r="A192" s="108" t="n"/>
      <c r="B192" s="75" t="n"/>
      <c r="C192" s="75" t="n"/>
      <c r="D192" s="109">
        <f t="array" ref="D192:D192">IFERROR(INDEX(GroupLookup,MATCH(C192,CategoryList,0)),"")</f>
        <v/>
      </c>
      <c r="E192" s="110" t="n"/>
      <c r="F192" s="75" t="n"/>
      <c r="G192" s="75" t="n"/>
    </row>
    <row r="193" ht="15.75" customHeight="1" s="52">
      <c r="A193" s="114" t="n"/>
      <c r="B193" s="76" t="n"/>
      <c r="C193" s="76" t="n"/>
      <c r="D193" s="109">
        <f t="array" ref="D193:D193">IFERROR(INDEX(GroupLookup,MATCH(C193,CategoryList,0)),"")</f>
        <v/>
      </c>
      <c r="E193" s="112" t="n"/>
      <c r="F193" s="76" t="n"/>
      <c r="G193" s="76" t="n"/>
    </row>
    <row r="194" ht="15.75" customHeight="1" s="52">
      <c r="A194" s="108" t="n"/>
      <c r="B194" s="75" t="n"/>
      <c r="C194" s="75" t="n"/>
      <c r="D194" s="109">
        <f t="array" ref="D194:D194">IFERROR(INDEX(GroupLookup,MATCH(C194,CategoryList,0)),"")</f>
        <v/>
      </c>
      <c r="E194" s="110" t="n"/>
      <c r="F194" s="75" t="n"/>
      <c r="G194" s="75" t="n"/>
    </row>
    <row r="195" ht="15.75" customHeight="1" s="52">
      <c r="A195" s="114" t="n"/>
      <c r="B195" s="76" t="n"/>
      <c r="C195" s="76" t="n"/>
      <c r="D195" s="109">
        <f t="array" ref="D195:D195">IFERROR(INDEX(GroupLookup,MATCH(C195,CategoryList,0)),"")</f>
        <v/>
      </c>
      <c r="E195" s="112" t="n"/>
      <c r="F195" s="76" t="n"/>
      <c r="G195" s="76" t="n"/>
    </row>
    <row r="196" ht="15.75" customHeight="1" s="52">
      <c r="A196" s="108" t="n"/>
      <c r="B196" s="75" t="n"/>
      <c r="C196" s="75" t="n"/>
      <c r="D196" s="109">
        <f t="array" ref="D196:D196">IFERROR(INDEX(GroupLookup,MATCH(C196,CategoryList,0)),"")</f>
        <v/>
      </c>
      <c r="E196" s="110" t="n"/>
      <c r="F196" s="75" t="n"/>
      <c r="G196" s="75" t="n"/>
    </row>
    <row r="197" ht="15.75" customHeight="1" s="52">
      <c r="A197" s="114" t="n"/>
      <c r="B197" s="76" t="n"/>
      <c r="C197" s="76" t="n"/>
      <c r="D197" s="109">
        <f t="array" ref="D197:D197">IFERROR(INDEX(GroupLookup,MATCH(C197,CategoryList,0)),"")</f>
        <v/>
      </c>
      <c r="E197" s="112" t="n"/>
      <c r="F197" s="76" t="n"/>
      <c r="G197" s="76" t="n"/>
    </row>
    <row r="198" ht="15.75" customHeight="1" s="52">
      <c r="A198" s="108" t="n"/>
      <c r="B198" s="75" t="n"/>
      <c r="C198" s="75" t="n"/>
      <c r="D198" s="109">
        <f t="array" ref="D198:D198">IFERROR(INDEX(GroupLookup,MATCH(C198,CategoryList,0)),"")</f>
        <v/>
      </c>
      <c r="E198" s="110" t="n"/>
      <c r="F198" s="75" t="n"/>
      <c r="G198" s="75" t="n"/>
    </row>
    <row r="199" ht="15.75" customHeight="1" s="52">
      <c r="A199" s="114" t="n"/>
      <c r="B199" s="76" t="n"/>
      <c r="C199" s="76" t="n"/>
      <c r="D199" s="109">
        <f t="array" ref="D199:D199">IFERROR(INDEX(GroupLookup,MATCH(C199,CategoryList,0)),"")</f>
        <v/>
      </c>
      <c r="E199" s="112" t="n"/>
      <c r="F199" s="76" t="n"/>
      <c r="G199" s="76" t="n"/>
    </row>
    <row r="200" ht="15.75" customHeight="1" s="52">
      <c r="A200" s="108" t="n"/>
      <c r="B200" s="75" t="n"/>
      <c r="C200" s="75" t="n"/>
      <c r="D200" s="109">
        <f t="array" ref="D200:D200">IFERROR(INDEX(GroupLookup,MATCH(C200,CategoryList,0)),"")</f>
        <v/>
      </c>
      <c r="E200" s="110" t="n"/>
      <c r="F200" s="75" t="n"/>
      <c r="G200" s="75" t="n"/>
    </row>
    <row r="201" ht="15.75" customHeight="1" s="52">
      <c r="A201" s="114" t="n"/>
      <c r="B201" s="76" t="n"/>
      <c r="C201" s="76" t="n"/>
      <c r="D201" s="109">
        <f t="array" ref="D201:D201">IFERROR(INDEX(GroupLookup,MATCH(C201,CategoryList,0)),"")</f>
        <v/>
      </c>
      <c r="E201" s="112" t="n"/>
      <c r="F201" s="76" t="n"/>
      <c r="G201" s="76" t="n"/>
    </row>
    <row r="202" ht="15.75" customHeight="1" s="52">
      <c r="A202" s="108" t="n"/>
      <c r="B202" s="75" t="n"/>
      <c r="C202" s="75" t="n"/>
      <c r="D202" s="109">
        <f t="array" ref="D202:D202">IFERROR(INDEX(GroupLookup,MATCH(C202,CategoryList,0)),"")</f>
        <v/>
      </c>
      <c r="E202" s="110" t="n"/>
      <c r="F202" s="75" t="n"/>
      <c r="G202" s="75" t="n"/>
    </row>
    <row r="203" ht="15.75" customHeight="1" s="52">
      <c r="A203" s="114" t="n"/>
      <c r="B203" s="76" t="n"/>
      <c r="C203" s="76" t="n"/>
      <c r="D203" s="109">
        <f t="array" ref="D203:D203">IFERROR(INDEX(GroupLookup,MATCH(C203,CategoryList,0)),"")</f>
        <v/>
      </c>
      <c r="E203" s="112" t="n"/>
      <c r="F203" s="76" t="n"/>
      <c r="G203" s="76" t="n"/>
    </row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autoFilter ref="A3:G203"/>
  <mergeCells count="12">
    <mergeCell ref="A1:G1"/>
    <mergeCell ref="J20:K20"/>
    <mergeCell ref="I2:K2"/>
    <mergeCell ref="I14:K14"/>
    <mergeCell ref="J16:K16"/>
    <mergeCell ref="J15:K15"/>
    <mergeCell ref="I1:K1"/>
    <mergeCell ref="J18:K18"/>
    <mergeCell ref="J19:K19"/>
    <mergeCell ref="A2:G2"/>
    <mergeCell ref="I21:K21"/>
    <mergeCell ref="J17:K17"/>
  </mergeCells>
  <conditionalFormatting sqref="J13">
    <cfRule type="expression" rank="0" priority="2" equalAverage="0" aboveAverage="0" dxfId="0" text="" percent="0" bottom="0">
      <formula>$J$13&lt;&gt;0</formula>
    </cfRule>
  </conditionalFormatting>
  <conditionalFormatting sqref="A4:G203">
    <cfRule type="expression" rank="0" priority="3" equalAverage="0" aboveAverage="0" dxfId="7" text="" percent="0" bottom="0">
      <formula>AND($E4&gt;0,$D4="")</formula>
    </cfRule>
  </conditionalFormatting>
  <dataValidations count="4">
    <dataValidation sqref="E4:E203" showDropDown="0" showInputMessage="0" showErrorMessage="1" allowBlank="1" errorTitle="পরিমাণ ঋণাত্মক হতে পারে না" error="শুধু শূন্য বা তার বেশি সংখ্যা লিখুন। টাকার চিহ্ন নিজে থেকে বসবে।" type="decimal" errorStyle="stop" operator="greaterThanOrEqual">
      <formula1>0</formula1>
      <formula2>0</formula2>
    </dataValidation>
    <dataValidation sqref="A4:A203" showDropDown="0" showInputMessage="0" showErrorMessage="1" allowBlank="1" errorTitle="তারিখ এই মাসের বাইরে" error="তারিখটি এই শিটের মাসের মধ্যে পড়ছে না। ভুল হলে ঠিক করুন, নয়তো ‘হ্যাঁ’ চেপে রেখে দিন।" type="date" errorStyle="warning" operator="between">
      <formula1>DATE(2026,4,1)</formula1>
      <formula2>DATE(2026,4,30)</formula2>
    </dataValidation>
    <dataValidation sqref="C4:C203" showDropDown="0" showInputMessage="0" showErrorMessage="1" allowBlank="1" errorTitle="খাত তালিকায় নেই" error="ড্রপ-ডাউন থেকে একটি খাত বেছে নিন। তালিকার বাইরের খাত লিখলে ‘গ্রুপ’ কলাম খালি থাকবে এবং খরচটি গ্রুপভিত্তিক হিসাবে ধরা পড়বে না। নতুন খাত দরকার হলে ‘সেটিংস’ শিটে যোগ করুন।" type="list" errorStyle="stop" operator="between">
      <formula1>CategoryList</formula1>
      <formula2>0</formula2>
    </dataValidation>
    <dataValidation sqref="F4:F203" showDropDown="0" showInputMessage="0" showErrorMessage="1" allowBlank="1" errorTitle="পেমেন্ট মাধ্যম তালিকায় নেই" error="ড্রপ-ডাউন থেকে একটি পেমেন্ট মাধ্যম বেছে নিন।" type="list" errorStyle="stop" operator="between">
      <formula1>PaymentList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2E5C99"/>
    <outlinePr summaryBelow="1" summaryRight="1"/>
    <pageSetUpPr fitToPage="0"/>
  </sheetPr>
  <dimension ref="A1:K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3359375" defaultRowHeight="15" zeroHeight="0" outlineLevelRow="0"/>
  <cols>
    <col width="13" customWidth="1" style="51" min="1" max="1"/>
    <col width="34" customWidth="1" style="51" min="2" max="2"/>
    <col width="26" customWidth="1" style="51" min="3" max="3"/>
    <col width="24" customWidth="1" style="51" min="4" max="4"/>
    <col width="15" customWidth="1" style="51" min="5" max="5"/>
    <col width="20" customWidth="1" style="51" min="6" max="6"/>
    <col width="26" customWidth="1" style="51" min="7" max="7"/>
    <col width="3" customWidth="1" style="51" min="8" max="8"/>
    <col width="30" customWidth="1" style="51" min="9" max="9"/>
    <col width="17" customWidth="1" style="51" min="10" max="10"/>
    <col width="12" customWidth="1" style="51" min="11" max="11"/>
    <col width="8.710000000000001" customWidth="1" style="51" min="12" max="26"/>
  </cols>
  <sheetData>
    <row r="1" ht="25.5" customHeight="1" s="52">
      <c r="A1" s="104" t="inlineStr">
        <is>
          <t>দৈনিক খরচের হিসাব  —  মে ২০২৬</t>
        </is>
      </c>
      <c r="I1" s="105" t="inlineStr">
        <is>
          <t>মাসিক সারসংক্ষেপ</t>
        </is>
      </c>
    </row>
    <row r="2" ht="15.75" customHeight="1" s="52">
      <c r="A2" s="59" t="inlineStr">
        <is>
          <t>শুধু  তারিখ · বিবরণ · খাত · পরিমাণ · পেমেন্ট মাধ্যম · মন্তব্য  ঘরগুলো পূরণ করুন। ‘গ্রুপ’ কলাম স্বয়ংক্রিয়ভাবে পূরণ হবে।</t>
        </is>
      </c>
      <c r="I2" s="106" t="n"/>
    </row>
    <row r="3" ht="21.75" customHeight="1" s="52">
      <c r="A3" s="107" t="inlineStr">
        <is>
          <t>তারিখ</t>
        </is>
      </c>
      <c r="B3" s="107" t="inlineStr">
        <is>
          <t>বিবরণ</t>
        </is>
      </c>
      <c r="C3" s="107" t="inlineStr">
        <is>
          <t>খাত</t>
        </is>
      </c>
      <c r="D3" s="107" t="inlineStr">
        <is>
          <t>গ্রুপ</t>
        </is>
      </c>
      <c r="E3" s="107" t="inlineStr">
        <is>
          <t>পরিমাণ (৳)</t>
        </is>
      </c>
      <c r="F3" s="107" t="inlineStr">
        <is>
          <t>পেমেন্ট মাধ্যম</t>
        </is>
      </c>
      <c r="G3" s="107" t="inlineStr">
        <is>
          <t>মন্তব্য</t>
        </is>
      </c>
      <c r="I3" s="100" t="inlineStr">
        <is>
          <t>গ্রুপ (প্রধান খাত)</t>
        </is>
      </c>
      <c r="J3" s="100" t="inlineStr">
        <is>
          <t>মোট (৳)</t>
        </is>
      </c>
      <c r="K3" s="100" t="inlineStr">
        <is>
          <t>শতাংশ</t>
        </is>
      </c>
    </row>
    <row r="4" ht="15" customHeight="1" s="52">
      <c r="A4" s="108" t="n"/>
      <c r="B4" s="75" t="n"/>
      <c r="C4" s="75" t="n"/>
      <c r="D4" s="109">
        <f t="array" ref="D4:D4">IFERROR(INDEX(GroupLookup,MATCH(C4,CategoryList,0)),"")</f>
        <v/>
      </c>
      <c r="E4" s="110" t="n"/>
      <c r="F4" s="75" t="n"/>
      <c r="G4" s="75" t="n"/>
      <c r="I4" s="75" t="inlineStr">
        <is>
          <t>খাদ্য ও মুদি</t>
        </is>
      </c>
      <c r="J4" s="110">
        <f>SUMIF($D$4:$D$203,$I4,$E$4:$E$203)</f>
        <v/>
      </c>
      <c r="K4" s="111">
        <f>IFERROR($J4/$J$12,0)</f>
        <v/>
      </c>
    </row>
    <row r="5" ht="15" customHeight="1" s="52">
      <c r="A5" s="114" t="n"/>
      <c r="B5" s="76" t="n"/>
      <c r="C5" s="76" t="n"/>
      <c r="D5" s="109">
        <f t="array" ref="D5:D5">IFERROR(INDEX(GroupLookup,MATCH(C5,CategoryList,0)),"")</f>
        <v/>
      </c>
      <c r="E5" s="112" t="n"/>
      <c r="F5" s="76" t="n"/>
      <c r="G5" s="76" t="n"/>
      <c r="I5" s="76" t="inlineStr">
        <is>
          <t>বাসস্থান</t>
        </is>
      </c>
      <c r="J5" s="112">
        <f>SUMIF($D$4:$D$203,$I5,$E$4:$E$203)</f>
        <v/>
      </c>
      <c r="K5" s="113">
        <f>IFERROR($J5/$J$12,0)</f>
        <v/>
      </c>
    </row>
    <row r="6" ht="15" customHeight="1" s="52">
      <c r="A6" s="108" t="n"/>
      <c r="B6" s="75" t="n"/>
      <c r="C6" s="75" t="n"/>
      <c r="D6" s="109">
        <f t="array" ref="D6:D6">IFERROR(INDEX(GroupLookup,MATCH(C6,CategoryList,0)),"")</f>
        <v/>
      </c>
      <c r="E6" s="110" t="n"/>
      <c r="F6" s="75" t="n"/>
      <c r="G6" s="75" t="n"/>
      <c r="I6" s="75" t="inlineStr">
        <is>
          <t>ইউটিলিটি বিল</t>
        </is>
      </c>
      <c r="J6" s="110">
        <f>SUMIF($D$4:$D$203,$I6,$E$4:$E$203)</f>
        <v/>
      </c>
      <c r="K6" s="111">
        <f>IFERROR($J6/$J$12,0)</f>
        <v/>
      </c>
    </row>
    <row r="7" ht="15" customHeight="1" s="52">
      <c r="A7" s="114" t="n"/>
      <c r="B7" s="76" t="n"/>
      <c r="C7" s="76" t="n"/>
      <c r="D7" s="109">
        <f t="array" ref="D7:D7">IFERROR(INDEX(GroupLookup,MATCH(C7,CategoryList,0)),"")</f>
        <v/>
      </c>
      <c r="E7" s="112" t="n"/>
      <c r="F7" s="76" t="n"/>
      <c r="G7" s="76" t="n"/>
      <c r="I7" s="76" t="inlineStr">
        <is>
          <t>যাতায়াত</t>
        </is>
      </c>
      <c r="J7" s="112">
        <f>SUMIF($D$4:$D$203,$I7,$E$4:$E$203)</f>
        <v/>
      </c>
      <c r="K7" s="113">
        <f>IFERROR($J7/$J$12,0)</f>
        <v/>
      </c>
    </row>
    <row r="8" ht="15" customHeight="1" s="52">
      <c r="A8" s="108" t="n"/>
      <c r="B8" s="75" t="n"/>
      <c r="C8" s="75" t="n"/>
      <c r="D8" s="109">
        <f t="array" ref="D8:D8">IFERROR(INDEX(GroupLookup,MATCH(C8,CategoryList,0)),"")</f>
        <v/>
      </c>
      <c r="E8" s="110" t="n"/>
      <c r="F8" s="75" t="n"/>
      <c r="G8" s="75" t="n"/>
      <c r="I8" s="75" t="inlineStr">
        <is>
          <t>স্বাস্থ্য</t>
        </is>
      </c>
      <c r="J8" s="110">
        <f>SUMIF($D$4:$D$203,$I8,$E$4:$E$203)</f>
        <v/>
      </c>
      <c r="K8" s="111">
        <f>IFERROR($J8/$J$12,0)</f>
        <v/>
      </c>
    </row>
    <row r="9" ht="15" customHeight="1" s="52">
      <c r="A9" s="114" t="n"/>
      <c r="B9" s="76" t="n"/>
      <c r="C9" s="76" t="n"/>
      <c r="D9" s="109">
        <f t="array" ref="D9:D9">IFERROR(INDEX(GroupLookup,MATCH(C9,CategoryList,0)),"")</f>
        <v/>
      </c>
      <c r="E9" s="112" t="n"/>
      <c r="F9" s="76" t="n"/>
      <c r="G9" s="76" t="n"/>
      <c r="I9" s="76" t="inlineStr">
        <is>
          <t>শিক্ষা</t>
        </is>
      </c>
      <c r="J9" s="112">
        <f>SUMIF($D$4:$D$203,$I9,$E$4:$E$203)</f>
        <v/>
      </c>
      <c r="K9" s="113">
        <f>IFERROR($J9/$J$12,0)</f>
        <v/>
      </c>
    </row>
    <row r="10" ht="15" customHeight="1" s="52">
      <c r="A10" s="108" t="n"/>
      <c r="B10" s="75" t="n"/>
      <c r="C10" s="75" t="n"/>
      <c r="D10" s="109">
        <f t="array" ref="D10:D10">IFERROR(INDEX(GroupLookup,MATCH(C10,CategoryList,0)),"")</f>
        <v/>
      </c>
      <c r="E10" s="110" t="n"/>
      <c r="F10" s="75" t="n"/>
      <c r="G10" s="75" t="n"/>
      <c r="I10" s="75" t="inlineStr">
        <is>
          <t>ব্যক্তিগত ও গৃহস্থালি</t>
        </is>
      </c>
      <c r="J10" s="110">
        <f>SUMIF($D$4:$D$203,$I10,$E$4:$E$203)</f>
        <v/>
      </c>
      <c r="K10" s="111">
        <f>IFERROR($J10/$J$12,0)</f>
        <v/>
      </c>
    </row>
    <row r="11" ht="15" customHeight="1" s="52">
      <c r="A11" s="114" t="n"/>
      <c r="B11" s="76" t="n"/>
      <c r="C11" s="76" t="n"/>
      <c r="D11" s="109">
        <f t="array" ref="D11:D11">IFERROR(INDEX(GroupLookup,MATCH(C11,CategoryList,0)),"")</f>
        <v/>
      </c>
      <c r="E11" s="112" t="n"/>
      <c r="F11" s="76" t="n"/>
      <c r="G11" s="76" t="n"/>
      <c r="I11" s="76" t="inlineStr">
        <is>
          <t>অন্যান্য</t>
        </is>
      </c>
      <c r="J11" s="112">
        <f>SUMIF($D$4:$D$203,$I11,$E$4:$E$203)</f>
        <v/>
      </c>
      <c r="K11" s="113">
        <f>IFERROR($J11/$J$12,0)</f>
        <v/>
      </c>
    </row>
    <row r="12" ht="15" customHeight="1" s="52">
      <c r="A12" s="108" t="n"/>
      <c r="B12" s="75" t="n"/>
      <c r="C12" s="75" t="n"/>
      <c r="D12" s="109">
        <f t="array" ref="D12:D12">IFERROR(INDEX(GroupLookup,MATCH(C12,CategoryList,0)),"")</f>
        <v/>
      </c>
      <c r="E12" s="110" t="n"/>
      <c r="F12" s="75" t="n"/>
      <c r="G12" s="75" t="n"/>
      <c r="I12" s="72" t="inlineStr">
        <is>
          <t>মোট মাসিক ব্যয়</t>
        </is>
      </c>
      <c r="J12" s="117">
        <f>SUM($E$4:$E$203)</f>
        <v/>
      </c>
      <c r="K12" s="118">
        <f>IFERROR($J$12/$J$12,0)</f>
        <v/>
      </c>
    </row>
    <row r="13" ht="15" customHeight="1" s="52">
      <c r="A13" s="114" t="n"/>
      <c r="B13" s="76" t="n"/>
      <c r="C13" s="76" t="n"/>
      <c r="D13" s="109">
        <f t="array" ref="D13:D13">IFERROR(INDEX(GroupLookup,MATCH(C13,CategoryList,0)),"")</f>
        <v/>
      </c>
      <c r="E13" s="112" t="n"/>
      <c r="F13" s="76" t="n"/>
      <c r="G13" s="76" t="n"/>
      <c r="I13" s="74" t="inlineStr">
        <is>
          <t>শ্রেণিবিন্যাসহীন (খাত তালিকায় নেই)</t>
        </is>
      </c>
      <c r="J13" s="117">
        <f>$J$12-SUM($J$4:$J$11)</f>
        <v/>
      </c>
      <c r="K13" s="118">
        <f>IFERROR($J13/$J$12,0)</f>
        <v/>
      </c>
    </row>
    <row r="14" ht="25.5" customHeight="1" s="52">
      <c r="A14" s="108" t="n"/>
      <c r="B14" s="75" t="n"/>
      <c r="C14" s="75" t="n"/>
      <c r="D14" s="109">
        <f t="array" ref="D14:D14">IFERROR(INDEX(GroupLookup,MATCH(C14,CategoryList,0)),"")</f>
        <v/>
      </c>
      <c r="E14" s="110" t="n"/>
      <c r="F14" s="75" t="n"/>
      <c r="G14" s="75" t="n"/>
      <c r="I14" s="119" t="inlineStr">
        <is>
          <t>গুরুত্বপূর্ণ তথ্য</t>
        </is>
      </c>
    </row>
    <row r="15" ht="15" customHeight="1" s="52">
      <c r="A15" s="114" t="n"/>
      <c r="B15" s="76" t="n"/>
      <c r="C15" s="76" t="n"/>
      <c r="D15" s="109">
        <f t="array" ref="D15:D15">IFERROR(INDEX(GroupLookup,MATCH(C15,CategoryList,0)),"")</f>
        <v/>
      </c>
      <c r="E15" s="112" t="n"/>
      <c r="F15" s="76" t="n"/>
      <c r="G15" s="76" t="n"/>
      <c r="I15" s="67" t="inlineStr">
        <is>
          <t>মোট লেনদেন সংখ্যা</t>
        </is>
      </c>
      <c r="J15" s="120">
        <f>COUNT($E$4:$E$203)</f>
        <v/>
      </c>
      <c r="K15" s="62" t="n"/>
    </row>
    <row r="16" ht="15" customHeight="1" s="52">
      <c r="A16" s="108" t="n"/>
      <c r="B16" s="75" t="n"/>
      <c r="C16" s="75" t="n"/>
      <c r="D16" s="109">
        <f t="array" ref="D16:D16">IFERROR(INDEX(GroupLookup,MATCH(C16,CategoryList,0)),"")</f>
        <v/>
      </c>
      <c r="E16" s="110" t="n"/>
      <c r="F16" s="75" t="n"/>
      <c r="G16" s="75" t="n"/>
      <c r="I16" s="70" t="inlineStr">
        <is>
          <t>দৈনিক গড় খরচ</t>
        </is>
      </c>
      <c r="J16" s="121">
        <f>IFERROR($J$12/31,0)</f>
        <v/>
      </c>
      <c r="K16" s="62" t="n"/>
    </row>
    <row r="17" ht="15" customHeight="1" s="52">
      <c r="A17" s="114" t="n"/>
      <c r="B17" s="76" t="n"/>
      <c r="C17" s="76" t="n"/>
      <c r="D17" s="109">
        <f t="array" ref="D17:D17">IFERROR(INDEX(GroupLookup,MATCH(C17,CategoryList,0)),"")</f>
        <v/>
      </c>
      <c r="E17" s="112" t="n"/>
      <c r="F17" s="76" t="n"/>
      <c r="G17" s="76" t="n"/>
      <c r="I17" s="67" t="inlineStr">
        <is>
          <t>প্রতি লেনদেনে গড়</t>
        </is>
      </c>
      <c r="J17" s="122">
        <f>IFERROR($J$12/COUNT($E$4:$E$203),0)</f>
        <v/>
      </c>
      <c r="K17" s="62" t="n"/>
    </row>
    <row r="18" ht="15" customHeight="1" s="52">
      <c r="A18" s="108" t="n"/>
      <c r="B18" s="75" t="n"/>
      <c r="C18" s="75" t="n"/>
      <c r="D18" s="109">
        <f t="array" ref="D18:D18">IFERROR(INDEX(GroupLookup,MATCH(C18,CategoryList,0)),"")</f>
        <v/>
      </c>
      <c r="E18" s="110" t="n"/>
      <c r="F18" s="75" t="n"/>
      <c r="G18" s="75" t="n"/>
      <c r="I18" s="70" t="inlineStr">
        <is>
          <t>সর্বোচ্চ একক খরচ</t>
        </is>
      </c>
      <c r="J18" s="121">
        <f>IFERROR(MAX($E$4:$E$203),0)</f>
        <v/>
      </c>
      <c r="K18" s="62" t="n"/>
    </row>
    <row r="19" ht="15" customHeight="1" s="52">
      <c r="A19" s="114" t="n"/>
      <c r="B19" s="76" t="n"/>
      <c r="C19" s="76" t="n"/>
      <c r="D19" s="109">
        <f t="array" ref="D19:D19">IFERROR(INDEX(GroupLookup,MATCH(C19,CategoryList,0)),"")</f>
        <v/>
      </c>
      <c r="E19" s="112" t="n"/>
      <c r="F19" s="76" t="n"/>
      <c r="G19" s="76" t="n"/>
      <c r="I19" s="67" t="inlineStr">
        <is>
          <t>সর্বোচ্চ ব্যয়ের গ্রুপ</t>
        </is>
      </c>
      <c r="J19" s="123">
        <f t="array" ref="J19:J19">IF($J$12=0,"–",IFERROR(INDEX($I$4:$I$11,MATCH(MAX($J$4:$J$11),$J$4:$J$11,0)),"–"))</f>
        <v/>
      </c>
      <c r="K19" s="62" t="n"/>
    </row>
    <row r="20" ht="15" customHeight="1" s="52">
      <c r="A20" s="108" t="n"/>
      <c r="B20" s="75" t="n"/>
      <c r="C20" s="75" t="n"/>
      <c r="D20" s="109">
        <f t="array" ref="D20:D20">IFERROR(INDEX(GroupLookup,MATCH(C20,CategoryList,0)),"")</f>
        <v/>
      </c>
      <c r="E20" s="110" t="n"/>
      <c r="F20" s="75" t="n"/>
      <c r="G20" s="75" t="n"/>
      <c r="I20" s="70" t="inlineStr">
        <is>
          <t>সর্বোচ্চ ব্যয়ের খাত</t>
        </is>
      </c>
      <c r="J20" s="124">
        <f t="array" ref="J20:J20">IF($J$12=0,"–",IFERROR(INDEX($I$23:$I$76,MATCH(MAX($J$23:$J$76),$J$23:$J$76,0)),"–"))</f>
        <v/>
      </c>
      <c r="K20" s="62" t="n"/>
    </row>
    <row r="21" ht="25.5" customHeight="1" s="52">
      <c r="A21" s="114" t="n"/>
      <c r="B21" s="76" t="n"/>
      <c r="C21" s="76" t="n"/>
      <c r="D21" s="109">
        <f t="array" ref="D21:D21">IFERROR(INDEX(GroupLookup,MATCH(C21,CategoryList,0)),"")</f>
        <v/>
      </c>
      <c r="E21" s="112" t="n"/>
      <c r="F21" s="76" t="n"/>
      <c r="G21" s="76" t="n"/>
      <c r="I21" s="119" t="inlineStr">
        <is>
          <t>খাতভিত্তিক বিস্তারিত</t>
        </is>
      </c>
    </row>
    <row r="22" ht="15.75" customHeight="1" s="52">
      <c r="A22" s="108" t="n"/>
      <c r="B22" s="75" t="n"/>
      <c r="C22" s="75" t="n"/>
      <c r="D22" s="109">
        <f t="array" ref="D22:D22">IFERROR(INDEX(GroupLookup,MATCH(C22,CategoryList,0)),"")</f>
        <v/>
      </c>
      <c r="E22" s="110" t="n"/>
      <c r="F22" s="75" t="n"/>
      <c r="G22" s="75" t="n"/>
      <c r="I22" s="100" t="inlineStr">
        <is>
          <t>খাত</t>
        </is>
      </c>
      <c r="J22" s="100" t="inlineStr">
        <is>
          <t>মোট (৳)</t>
        </is>
      </c>
      <c r="K22" s="100" t="inlineStr">
        <is>
          <t>শতাংশ</t>
        </is>
      </c>
    </row>
    <row r="23" ht="15.75" customHeight="1" s="52">
      <c r="A23" s="114" t="n"/>
      <c r="B23" s="76" t="n"/>
      <c r="C23" s="76" t="n"/>
      <c r="D23" s="109">
        <f t="array" ref="D23:D23">IFERROR(INDEX(GroupLookup,MATCH(C23,CategoryList,0)),"")</f>
        <v/>
      </c>
      <c r="E23" s="112" t="n"/>
      <c r="F23" s="76" t="n"/>
      <c r="G23" s="76" t="n"/>
      <c r="I23" s="75" t="inlineStr">
        <is>
          <t>চাল</t>
        </is>
      </c>
      <c r="J23" s="110">
        <f>SUMIF($C$4:$C$203,$I23,$E$4:$E$203)</f>
        <v/>
      </c>
      <c r="K23" s="111">
        <f>IFERROR($J23/$J$12,0)</f>
        <v/>
      </c>
    </row>
    <row r="24" ht="15.75" customHeight="1" s="52">
      <c r="A24" s="108" t="n"/>
      <c r="B24" s="75" t="n"/>
      <c r="C24" s="75" t="n"/>
      <c r="D24" s="109">
        <f t="array" ref="D24:D24">IFERROR(INDEX(GroupLookup,MATCH(C24,CategoryList,0)),"")</f>
        <v/>
      </c>
      <c r="E24" s="110" t="n"/>
      <c r="F24" s="75" t="n"/>
      <c r="G24" s="75" t="n"/>
      <c r="I24" s="76" t="inlineStr">
        <is>
          <t>আটা ও ময়দা</t>
        </is>
      </c>
      <c r="J24" s="112">
        <f>SUMIF($C$4:$C$203,$I24,$E$4:$E$203)</f>
        <v/>
      </c>
      <c r="K24" s="113">
        <f>IFERROR($J24/$J$12,0)</f>
        <v/>
      </c>
    </row>
    <row r="25" ht="15.75" customHeight="1" s="52">
      <c r="A25" s="114" t="n"/>
      <c r="B25" s="76" t="n"/>
      <c r="C25" s="76" t="n"/>
      <c r="D25" s="109">
        <f t="array" ref="D25:D25">IFERROR(INDEX(GroupLookup,MATCH(C25,CategoryList,0)),"")</f>
        <v/>
      </c>
      <c r="E25" s="112" t="n"/>
      <c r="F25" s="76" t="n"/>
      <c r="G25" s="76" t="n"/>
      <c r="I25" s="75" t="inlineStr">
        <is>
          <t>ডাল</t>
        </is>
      </c>
      <c r="J25" s="110">
        <f>SUMIF($C$4:$C$203,$I25,$E$4:$E$203)</f>
        <v/>
      </c>
      <c r="K25" s="111">
        <f>IFERROR($J25/$J$12,0)</f>
        <v/>
      </c>
    </row>
    <row r="26" ht="15.75" customHeight="1" s="52">
      <c r="A26" s="108" t="n"/>
      <c r="B26" s="75" t="n"/>
      <c r="C26" s="75" t="n"/>
      <c r="D26" s="109">
        <f t="array" ref="D26:D26">IFERROR(INDEX(GroupLookup,MATCH(C26,CategoryList,0)),"")</f>
        <v/>
      </c>
      <c r="E26" s="110" t="n"/>
      <c r="F26" s="75" t="n"/>
      <c r="G26" s="75" t="n"/>
      <c r="I26" s="76" t="inlineStr">
        <is>
          <t>মাছ</t>
        </is>
      </c>
      <c r="J26" s="112">
        <f>SUMIF($C$4:$C$203,$I26,$E$4:$E$203)</f>
        <v/>
      </c>
      <c r="K26" s="113">
        <f>IFERROR($J26/$J$12,0)</f>
        <v/>
      </c>
    </row>
    <row r="27" ht="15.75" customHeight="1" s="52">
      <c r="A27" s="114" t="n"/>
      <c r="B27" s="76" t="n"/>
      <c r="C27" s="76" t="n"/>
      <c r="D27" s="109">
        <f t="array" ref="D27:D27">IFERROR(INDEX(GroupLookup,MATCH(C27,CategoryList,0)),"")</f>
        <v/>
      </c>
      <c r="E27" s="112" t="n"/>
      <c r="F27" s="76" t="n"/>
      <c r="G27" s="76" t="n"/>
      <c r="I27" s="75" t="inlineStr">
        <is>
          <t>মাংস</t>
        </is>
      </c>
      <c r="J27" s="110">
        <f>SUMIF($C$4:$C$203,$I27,$E$4:$E$203)</f>
        <v/>
      </c>
      <c r="K27" s="111">
        <f>IFERROR($J27/$J$12,0)</f>
        <v/>
      </c>
    </row>
    <row r="28" ht="15.75" customHeight="1" s="52">
      <c r="A28" s="108" t="n"/>
      <c r="B28" s="75" t="n"/>
      <c r="C28" s="75" t="n"/>
      <c r="D28" s="109">
        <f t="array" ref="D28:D28">IFERROR(INDEX(GroupLookup,MATCH(C28,CategoryList,0)),"")</f>
        <v/>
      </c>
      <c r="E28" s="110" t="n"/>
      <c r="F28" s="75" t="n"/>
      <c r="G28" s="75" t="n"/>
      <c r="I28" s="76" t="inlineStr">
        <is>
          <t>ডিম</t>
        </is>
      </c>
      <c r="J28" s="112">
        <f>SUMIF($C$4:$C$203,$I28,$E$4:$E$203)</f>
        <v/>
      </c>
      <c r="K28" s="113">
        <f>IFERROR($J28/$J$12,0)</f>
        <v/>
      </c>
    </row>
    <row r="29" ht="15.75" customHeight="1" s="52">
      <c r="A29" s="114" t="n"/>
      <c r="B29" s="76" t="n"/>
      <c r="C29" s="76" t="n"/>
      <c r="D29" s="109">
        <f t="array" ref="D29:D29">IFERROR(INDEX(GroupLookup,MATCH(C29,CategoryList,0)),"")</f>
        <v/>
      </c>
      <c r="E29" s="112" t="n"/>
      <c r="F29" s="76" t="n"/>
      <c r="G29" s="76" t="n"/>
      <c r="I29" s="75" t="inlineStr">
        <is>
          <t>দুধ ও দুগ্ধজাত পণ্য</t>
        </is>
      </c>
      <c r="J29" s="110">
        <f>SUMIF($C$4:$C$203,$I29,$E$4:$E$203)</f>
        <v/>
      </c>
      <c r="K29" s="111">
        <f>IFERROR($J29/$J$12,0)</f>
        <v/>
      </c>
    </row>
    <row r="30" ht="15.75" customHeight="1" s="52">
      <c r="A30" s="108" t="n"/>
      <c r="B30" s="75" t="n"/>
      <c r="C30" s="75" t="n"/>
      <c r="D30" s="109">
        <f t="array" ref="D30:D30">IFERROR(INDEX(GroupLookup,MATCH(C30,CategoryList,0)),"")</f>
        <v/>
      </c>
      <c r="E30" s="110" t="n"/>
      <c r="F30" s="75" t="n"/>
      <c r="G30" s="75" t="n"/>
      <c r="I30" s="76" t="inlineStr">
        <is>
          <t>ভোজ্য তেল</t>
        </is>
      </c>
      <c r="J30" s="112">
        <f>SUMIF($C$4:$C$203,$I30,$E$4:$E$203)</f>
        <v/>
      </c>
      <c r="K30" s="113">
        <f>IFERROR($J30/$J$12,0)</f>
        <v/>
      </c>
    </row>
    <row r="31" ht="15.75" customHeight="1" s="52">
      <c r="A31" s="114" t="n"/>
      <c r="B31" s="76" t="n"/>
      <c r="C31" s="76" t="n"/>
      <c r="D31" s="109">
        <f t="array" ref="D31:D31">IFERROR(INDEX(GroupLookup,MATCH(C31,CategoryList,0)),"")</f>
        <v/>
      </c>
      <c r="E31" s="112" t="n"/>
      <c r="F31" s="76" t="n"/>
      <c r="G31" s="76" t="n"/>
      <c r="I31" s="75" t="inlineStr">
        <is>
          <t>শাক-সবজি</t>
        </is>
      </c>
      <c r="J31" s="110">
        <f>SUMIF($C$4:$C$203,$I31,$E$4:$E$203)</f>
        <v/>
      </c>
      <c r="K31" s="111">
        <f>IFERROR($J31/$J$12,0)</f>
        <v/>
      </c>
    </row>
    <row r="32" ht="15.75" customHeight="1" s="52">
      <c r="A32" s="108" t="n"/>
      <c r="B32" s="75" t="n"/>
      <c r="C32" s="75" t="n"/>
      <c r="D32" s="109">
        <f t="array" ref="D32:D32">IFERROR(INDEX(GroupLookup,MATCH(C32,CategoryList,0)),"")</f>
        <v/>
      </c>
      <c r="E32" s="110" t="n"/>
      <c r="F32" s="75" t="n"/>
      <c r="G32" s="75" t="n"/>
      <c r="I32" s="76" t="inlineStr">
        <is>
          <t>ফলমূল</t>
        </is>
      </c>
      <c r="J32" s="112">
        <f>SUMIF($C$4:$C$203,$I32,$E$4:$E$203)</f>
        <v/>
      </c>
      <c r="K32" s="113">
        <f>IFERROR($J32/$J$12,0)</f>
        <v/>
      </c>
    </row>
    <row r="33" ht="15.75" customHeight="1" s="52">
      <c r="A33" s="114" t="n"/>
      <c r="B33" s="76" t="n"/>
      <c r="C33" s="76" t="n"/>
      <c r="D33" s="109">
        <f t="array" ref="D33:D33">IFERROR(INDEX(GroupLookup,MATCH(C33,CategoryList,0)),"")</f>
        <v/>
      </c>
      <c r="E33" s="112" t="n"/>
      <c r="F33" s="76" t="n"/>
      <c r="G33" s="76" t="n"/>
      <c r="I33" s="75" t="inlineStr">
        <is>
          <t>মসলা</t>
        </is>
      </c>
      <c r="J33" s="110">
        <f>SUMIF($C$4:$C$203,$I33,$E$4:$E$203)</f>
        <v/>
      </c>
      <c r="K33" s="111">
        <f>IFERROR($J33/$J$12,0)</f>
        <v/>
      </c>
    </row>
    <row r="34" ht="15.75" customHeight="1" s="52">
      <c r="A34" s="108" t="n"/>
      <c r="B34" s="75" t="n"/>
      <c r="C34" s="75" t="n"/>
      <c r="D34" s="109">
        <f t="array" ref="D34:D34">IFERROR(INDEX(GroupLookup,MATCH(C34,CategoryList,0)),"")</f>
        <v/>
      </c>
      <c r="E34" s="110" t="n"/>
      <c r="F34" s="75" t="n"/>
      <c r="G34" s="75" t="n"/>
      <c r="I34" s="76" t="inlineStr">
        <is>
          <t>চিনি ও লবণ</t>
        </is>
      </c>
      <c r="J34" s="112">
        <f>SUMIF($C$4:$C$203,$I34,$E$4:$E$203)</f>
        <v/>
      </c>
      <c r="K34" s="113">
        <f>IFERROR($J34/$J$12,0)</f>
        <v/>
      </c>
    </row>
    <row r="35" ht="15.75" customHeight="1" s="52">
      <c r="A35" s="114" t="n"/>
      <c r="B35" s="76" t="n"/>
      <c r="C35" s="76" t="n"/>
      <c r="D35" s="109">
        <f t="array" ref="D35:D35">IFERROR(INDEX(GroupLookup,MATCH(C35,CategoryList,0)),"")</f>
        <v/>
      </c>
      <c r="E35" s="112" t="n"/>
      <c r="F35" s="76" t="n"/>
      <c r="G35" s="76" t="n"/>
      <c r="I35" s="75" t="inlineStr">
        <is>
          <t>চা ও কফি</t>
        </is>
      </c>
      <c r="J35" s="110">
        <f>SUMIF($C$4:$C$203,$I35,$E$4:$E$203)</f>
        <v/>
      </c>
      <c r="K35" s="111">
        <f>IFERROR($J35/$J$12,0)</f>
        <v/>
      </c>
    </row>
    <row r="36" ht="15.75" customHeight="1" s="52">
      <c r="A36" s="108" t="n"/>
      <c r="B36" s="75" t="n"/>
      <c r="C36" s="75" t="n"/>
      <c r="D36" s="109">
        <f t="array" ref="D36:D36">IFERROR(INDEX(GroupLookup,MATCH(C36,CategoryList,0)),"")</f>
        <v/>
      </c>
      <c r="E36" s="110" t="n"/>
      <c r="F36" s="75" t="n"/>
      <c r="G36" s="75" t="n"/>
      <c r="I36" s="76" t="inlineStr">
        <is>
          <t>নাশতা ও বেকারি</t>
        </is>
      </c>
      <c r="J36" s="112">
        <f>SUMIF($C$4:$C$203,$I36,$E$4:$E$203)</f>
        <v/>
      </c>
      <c r="K36" s="113">
        <f>IFERROR($J36/$J$12,0)</f>
        <v/>
      </c>
    </row>
    <row r="37" ht="15.75" customHeight="1" s="52">
      <c r="A37" s="114" t="n"/>
      <c r="B37" s="76" t="n"/>
      <c r="C37" s="76" t="n"/>
      <c r="D37" s="109">
        <f t="array" ref="D37:D37">IFERROR(INDEX(GroupLookup,MATCH(C37,CategoryList,0)),"")</f>
        <v/>
      </c>
      <c r="E37" s="112" t="n"/>
      <c r="F37" s="76" t="n"/>
      <c r="G37" s="76" t="n"/>
      <c r="I37" s="75" t="inlineStr">
        <is>
          <t>বাইরে খাওয়া / রেস্তোরাঁ</t>
        </is>
      </c>
      <c r="J37" s="110">
        <f>SUMIF($C$4:$C$203,$I37,$E$4:$E$203)</f>
        <v/>
      </c>
      <c r="K37" s="111">
        <f>IFERROR($J37/$J$12,0)</f>
        <v/>
      </c>
    </row>
    <row r="38" ht="15.75" customHeight="1" s="52">
      <c r="A38" s="108" t="n"/>
      <c r="B38" s="75" t="n"/>
      <c r="C38" s="75" t="n"/>
      <c r="D38" s="109">
        <f t="array" ref="D38:D38">IFERROR(INDEX(GroupLookup,MATCH(C38,CategoryList,0)),"")</f>
        <v/>
      </c>
      <c r="E38" s="110" t="n"/>
      <c r="F38" s="75" t="n"/>
      <c r="G38" s="75" t="n"/>
      <c r="I38" s="76" t="inlineStr">
        <is>
          <t>বাড়ি ভাড়া</t>
        </is>
      </c>
      <c r="J38" s="112">
        <f>SUMIF($C$4:$C$203,$I38,$E$4:$E$203)</f>
        <v/>
      </c>
      <c r="K38" s="113">
        <f>IFERROR($J38/$J$12,0)</f>
        <v/>
      </c>
    </row>
    <row r="39" ht="15.75" customHeight="1" s="52">
      <c r="A39" s="114" t="n"/>
      <c r="B39" s="76" t="n"/>
      <c r="C39" s="76" t="n"/>
      <c r="D39" s="109">
        <f t="array" ref="D39:D39">IFERROR(INDEX(GroupLookup,MATCH(C39,CategoryList,0)),"")</f>
        <v/>
      </c>
      <c r="E39" s="112" t="n"/>
      <c r="F39" s="76" t="n"/>
      <c r="G39" s="76" t="n"/>
      <c r="I39" s="75" t="inlineStr">
        <is>
          <t>সার্ভিস চার্জ</t>
        </is>
      </c>
      <c r="J39" s="110">
        <f>SUMIF($C$4:$C$203,$I39,$E$4:$E$203)</f>
        <v/>
      </c>
      <c r="K39" s="111">
        <f>IFERROR($J39/$J$12,0)</f>
        <v/>
      </c>
    </row>
    <row r="40" ht="15.75" customHeight="1" s="52">
      <c r="A40" s="108" t="n"/>
      <c r="B40" s="75" t="n"/>
      <c r="C40" s="75" t="n"/>
      <c r="D40" s="109">
        <f t="array" ref="D40:D40">IFERROR(INDEX(GroupLookup,MATCH(C40,CategoryList,0)),"")</f>
        <v/>
      </c>
      <c r="E40" s="110" t="n"/>
      <c r="F40" s="75" t="n"/>
      <c r="G40" s="75" t="n"/>
      <c r="I40" s="76" t="inlineStr">
        <is>
          <t>বাড়ি মেরামত ও রক্ষণাবেক্ষণ</t>
        </is>
      </c>
      <c r="J40" s="112">
        <f>SUMIF($C$4:$C$203,$I40,$E$4:$E$203)</f>
        <v/>
      </c>
      <c r="K40" s="113">
        <f>IFERROR($J40/$J$12,0)</f>
        <v/>
      </c>
    </row>
    <row r="41" ht="15.75" customHeight="1" s="52">
      <c r="A41" s="114" t="n"/>
      <c r="B41" s="76" t="n"/>
      <c r="C41" s="76" t="n"/>
      <c r="D41" s="109">
        <f t="array" ref="D41:D41">IFERROR(INDEX(GroupLookup,MATCH(C41,CategoryList,0)),"")</f>
        <v/>
      </c>
      <c r="E41" s="112" t="n"/>
      <c r="F41" s="76" t="n"/>
      <c r="G41" s="76" t="n"/>
      <c r="I41" s="75" t="inlineStr">
        <is>
          <t>গৃহকর্মীর বেতন</t>
        </is>
      </c>
      <c r="J41" s="110">
        <f>SUMIF($C$4:$C$203,$I41,$E$4:$E$203)</f>
        <v/>
      </c>
      <c r="K41" s="111">
        <f>IFERROR($J41/$J$12,0)</f>
        <v/>
      </c>
    </row>
    <row r="42" ht="15.75" customHeight="1" s="52">
      <c r="A42" s="108" t="n"/>
      <c r="B42" s="75" t="n"/>
      <c r="C42" s="75" t="n"/>
      <c r="D42" s="109">
        <f t="array" ref="D42:D42">IFERROR(INDEX(GroupLookup,MATCH(C42,CategoryList,0)),"")</f>
        <v/>
      </c>
      <c r="E42" s="110" t="n"/>
      <c r="F42" s="75" t="n"/>
      <c r="G42" s="75" t="n"/>
      <c r="I42" s="76" t="inlineStr">
        <is>
          <t>আসবাবপত্র</t>
        </is>
      </c>
      <c r="J42" s="112">
        <f>SUMIF($C$4:$C$203,$I42,$E$4:$E$203)</f>
        <v/>
      </c>
      <c r="K42" s="113">
        <f>IFERROR($J42/$J$12,0)</f>
        <v/>
      </c>
    </row>
    <row r="43" ht="15.75" customHeight="1" s="52">
      <c r="A43" s="114" t="n"/>
      <c r="B43" s="76" t="n"/>
      <c r="C43" s="76" t="n"/>
      <c r="D43" s="109">
        <f t="array" ref="D43:D43">IFERROR(INDEX(GroupLookup,MATCH(C43,CategoryList,0)),"")</f>
        <v/>
      </c>
      <c r="E43" s="112" t="n"/>
      <c r="F43" s="76" t="n"/>
      <c r="G43" s="76" t="n"/>
      <c r="I43" s="75" t="inlineStr">
        <is>
          <t>বিদ্যুৎ বিল</t>
        </is>
      </c>
      <c r="J43" s="110">
        <f>SUMIF($C$4:$C$203,$I43,$E$4:$E$203)</f>
        <v/>
      </c>
      <c r="K43" s="111">
        <f>IFERROR($J43/$J$12,0)</f>
        <v/>
      </c>
    </row>
    <row r="44" ht="15.75" customHeight="1" s="52">
      <c r="A44" s="108" t="n"/>
      <c r="B44" s="75" t="n"/>
      <c r="C44" s="75" t="n"/>
      <c r="D44" s="109">
        <f t="array" ref="D44:D44">IFERROR(INDEX(GroupLookup,MATCH(C44,CategoryList,0)),"")</f>
        <v/>
      </c>
      <c r="E44" s="110" t="n"/>
      <c r="F44" s="75" t="n"/>
      <c r="G44" s="75" t="n"/>
      <c r="I44" s="76" t="inlineStr">
        <is>
          <t>গ্যাস বিল</t>
        </is>
      </c>
      <c r="J44" s="112">
        <f>SUMIF($C$4:$C$203,$I44,$E$4:$E$203)</f>
        <v/>
      </c>
      <c r="K44" s="113">
        <f>IFERROR($J44/$J$12,0)</f>
        <v/>
      </c>
    </row>
    <row r="45" ht="15.75" customHeight="1" s="52">
      <c r="A45" s="114" t="n"/>
      <c r="B45" s="76" t="n"/>
      <c r="C45" s="76" t="n"/>
      <c r="D45" s="109">
        <f t="array" ref="D45:D45">IFERROR(INDEX(GroupLookup,MATCH(C45,CategoryList,0)),"")</f>
        <v/>
      </c>
      <c r="E45" s="112" t="n"/>
      <c r="F45" s="76" t="n"/>
      <c r="G45" s="76" t="n"/>
      <c r="I45" s="75" t="inlineStr">
        <is>
          <t>পানির বিল</t>
        </is>
      </c>
      <c r="J45" s="110">
        <f>SUMIF($C$4:$C$203,$I45,$E$4:$E$203)</f>
        <v/>
      </c>
      <c r="K45" s="111">
        <f>IFERROR($J45/$J$12,0)</f>
        <v/>
      </c>
    </row>
    <row r="46" ht="15.75" customHeight="1" s="52">
      <c r="A46" s="108" t="n"/>
      <c r="B46" s="75" t="n"/>
      <c r="C46" s="75" t="n"/>
      <c r="D46" s="109">
        <f t="array" ref="D46:D46">IFERROR(INDEX(GroupLookup,MATCH(C46,CategoryList,0)),"")</f>
        <v/>
      </c>
      <c r="E46" s="110" t="n"/>
      <c r="F46" s="75" t="n"/>
      <c r="G46" s="75" t="n"/>
      <c r="I46" s="76" t="inlineStr">
        <is>
          <t>ইন্টারনেট বিল</t>
        </is>
      </c>
      <c r="J46" s="112">
        <f>SUMIF($C$4:$C$203,$I46,$E$4:$E$203)</f>
        <v/>
      </c>
      <c r="K46" s="113">
        <f>IFERROR($J46/$J$12,0)</f>
        <v/>
      </c>
    </row>
    <row r="47" ht="15.75" customHeight="1" s="52">
      <c r="A47" s="114" t="n"/>
      <c r="B47" s="76" t="n"/>
      <c r="C47" s="76" t="n"/>
      <c r="D47" s="109">
        <f t="array" ref="D47:D47">IFERROR(INDEX(GroupLookup,MATCH(C47,CategoryList,0)),"")</f>
        <v/>
      </c>
      <c r="E47" s="112" t="n"/>
      <c r="F47" s="76" t="n"/>
      <c r="G47" s="76" t="n"/>
      <c r="I47" s="75" t="inlineStr">
        <is>
          <t>মোবাইল রিচার্জ</t>
        </is>
      </c>
      <c r="J47" s="110">
        <f>SUMIF($C$4:$C$203,$I47,$E$4:$E$203)</f>
        <v/>
      </c>
      <c r="K47" s="111">
        <f>IFERROR($J47/$J$12,0)</f>
        <v/>
      </c>
    </row>
    <row r="48" ht="15.75" customHeight="1" s="52">
      <c r="A48" s="108" t="n"/>
      <c r="B48" s="75" t="n"/>
      <c r="C48" s="75" t="n"/>
      <c r="D48" s="109">
        <f t="array" ref="D48:D48">IFERROR(INDEX(GroupLookup,MATCH(C48,CategoryList,0)),"")</f>
        <v/>
      </c>
      <c r="E48" s="110" t="n"/>
      <c r="F48" s="75" t="n"/>
      <c r="G48" s="75" t="n"/>
      <c r="I48" s="76" t="inlineStr">
        <is>
          <t>ডিশ / ক্যাবল বিল</t>
        </is>
      </c>
      <c r="J48" s="112">
        <f>SUMIF($C$4:$C$203,$I48,$E$4:$E$203)</f>
        <v/>
      </c>
      <c r="K48" s="113">
        <f>IFERROR($J48/$J$12,0)</f>
        <v/>
      </c>
    </row>
    <row r="49" ht="15.75" customHeight="1" s="52">
      <c r="A49" s="114" t="n"/>
      <c r="B49" s="76" t="n"/>
      <c r="C49" s="76" t="n"/>
      <c r="D49" s="109">
        <f t="array" ref="D49:D49">IFERROR(INDEX(GroupLookup,MATCH(C49,CategoryList,0)),"")</f>
        <v/>
      </c>
      <c r="E49" s="112" t="n"/>
      <c r="F49" s="76" t="n"/>
      <c r="G49" s="76" t="n"/>
      <c r="I49" s="75" t="inlineStr">
        <is>
          <t>পৌর কর ও হোল্ডিং ট্যাক্স</t>
        </is>
      </c>
      <c r="J49" s="110">
        <f>SUMIF($C$4:$C$203,$I49,$E$4:$E$203)</f>
        <v/>
      </c>
      <c r="K49" s="111">
        <f>IFERROR($J49/$J$12,0)</f>
        <v/>
      </c>
    </row>
    <row r="50" ht="15.75" customHeight="1" s="52">
      <c r="A50" s="108" t="n"/>
      <c r="B50" s="75" t="n"/>
      <c r="C50" s="75" t="n"/>
      <c r="D50" s="109">
        <f t="array" ref="D50:D50">IFERROR(INDEX(GroupLookup,MATCH(C50,CategoryList,0)),"")</f>
        <v/>
      </c>
      <c r="E50" s="110" t="n"/>
      <c r="F50" s="75" t="n"/>
      <c r="G50" s="75" t="n"/>
      <c r="I50" s="76" t="inlineStr">
        <is>
          <t>ময়লা ও পরিচ্ছন্নতা বিল</t>
        </is>
      </c>
      <c r="J50" s="112">
        <f>SUMIF($C$4:$C$203,$I50,$E$4:$E$203)</f>
        <v/>
      </c>
      <c r="K50" s="113">
        <f>IFERROR($J50/$J$12,0)</f>
        <v/>
      </c>
    </row>
    <row r="51" ht="15.75" customHeight="1" s="52">
      <c r="A51" s="114" t="n"/>
      <c r="B51" s="76" t="n"/>
      <c r="C51" s="76" t="n"/>
      <c r="D51" s="109">
        <f t="array" ref="D51:D51">IFERROR(INDEX(GroupLookup,MATCH(C51,CategoryList,0)),"")</f>
        <v/>
      </c>
      <c r="E51" s="112" t="n"/>
      <c r="F51" s="76" t="n"/>
      <c r="G51" s="76" t="n"/>
      <c r="I51" s="75" t="inlineStr">
        <is>
          <t>রিকশা / সিএনজি</t>
        </is>
      </c>
      <c r="J51" s="110">
        <f>SUMIF($C$4:$C$203,$I51,$E$4:$E$203)</f>
        <v/>
      </c>
      <c r="K51" s="111">
        <f>IFERROR($J51/$J$12,0)</f>
        <v/>
      </c>
    </row>
    <row r="52" ht="15.75" customHeight="1" s="52">
      <c r="A52" s="108" t="n"/>
      <c r="B52" s="75" t="n"/>
      <c r="C52" s="75" t="n"/>
      <c r="D52" s="109">
        <f t="array" ref="D52:D52">IFERROR(INDEX(GroupLookup,MATCH(C52,CategoryList,0)),"")</f>
        <v/>
      </c>
      <c r="E52" s="110" t="n"/>
      <c r="F52" s="75" t="n"/>
      <c r="G52" s="75" t="n"/>
      <c r="I52" s="76" t="inlineStr">
        <is>
          <t>বাস / ট্রেন / লঞ্চ ভাড়া</t>
        </is>
      </c>
      <c r="J52" s="112">
        <f>SUMIF($C$4:$C$203,$I52,$E$4:$E$203)</f>
        <v/>
      </c>
      <c r="K52" s="113">
        <f>IFERROR($J52/$J$12,0)</f>
        <v/>
      </c>
    </row>
    <row r="53" ht="15.75" customHeight="1" s="52">
      <c r="A53" s="114" t="n"/>
      <c r="B53" s="76" t="n"/>
      <c r="C53" s="76" t="n"/>
      <c r="D53" s="109">
        <f t="array" ref="D53:D53">IFERROR(INDEX(GroupLookup,MATCH(C53,CategoryList,0)),"")</f>
        <v/>
      </c>
      <c r="E53" s="112" t="n"/>
      <c r="F53" s="76" t="n"/>
      <c r="G53" s="76" t="n"/>
      <c r="I53" s="75" t="inlineStr">
        <is>
          <t>রাইড শেয়ারিং</t>
        </is>
      </c>
      <c r="J53" s="110">
        <f>SUMIF($C$4:$C$203,$I53,$E$4:$E$203)</f>
        <v/>
      </c>
      <c r="K53" s="111">
        <f>IFERROR($J53/$J$12,0)</f>
        <v/>
      </c>
    </row>
    <row r="54" ht="15.75" customHeight="1" s="52">
      <c r="A54" s="108" t="n"/>
      <c r="B54" s="75" t="n"/>
      <c r="C54" s="75" t="n"/>
      <c r="D54" s="109">
        <f t="array" ref="D54:D54">IFERROR(INDEX(GroupLookup,MATCH(C54,CategoryList,0)),"")</f>
        <v/>
      </c>
      <c r="E54" s="110" t="n"/>
      <c r="F54" s="75" t="n"/>
      <c r="G54" s="75" t="n"/>
      <c r="I54" s="76" t="inlineStr">
        <is>
          <t>জ্বালানি (পেট্রোল / ডিজেল)</t>
        </is>
      </c>
      <c r="J54" s="112">
        <f>SUMIF($C$4:$C$203,$I54,$E$4:$E$203)</f>
        <v/>
      </c>
      <c r="K54" s="113">
        <f>IFERROR($J54/$J$12,0)</f>
        <v/>
      </c>
    </row>
    <row r="55" ht="15.75" customHeight="1" s="52">
      <c r="A55" s="114" t="n"/>
      <c r="B55" s="76" t="n"/>
      <c r="C55" s="76" t="n"/>
      <c r="D55" s="109">
        <f t="array" ref="D55:D55">IFERROR(INDEX(GroupLookup,MATCH(C55,CategoryList,0)),"")</f>
        <v/>
      </c>
      <c r="E55" s="112" t="n"/>
      <c r="F55" s="76" t="n"/>
      <c r="G55" s="76" t="n"/>
      <c r="I55" s="75" t="inlineStr">
        <is>
          <t>গাড়ি / বাইক রক্ষণাবেক্ষণ</t>
        </is>
      </c>
      <c r="J55" s="110">
        <f>SUMIF($C$4:$C$203,$I55,$E$4:$E$203)</f>
        <v/>
      </c>
      <c r="K55" s="111">
        <f>IFERROR($J55/$J$12,0)</f>
        <v/>
      </c>
    </row>
    <row r="56" ht="15.75" customHeight="1" s="52">
      <c r="A56" s="108" t="n"/>
      <c r="B56" s="75" t="n"/>
      <c r="C56" s="75" t="n"/>
      <c r="D56" s="109">
        <f t="array" ref="D56:D56">IFERROR(INDEX(GroupLookup,MATCH(C56,CategoryList,0)),"")</f>
        <v/>
      </c>
      <c r="E56" s="110" t="n"/>
      <c r="F56" s="75" t="n"/>
      <c r="G56" s="75" t="n"/>
      <c r="I56" s="76" t="inlineStr">
        <is>
          <t>পার্কিং ও টোল</t>
        </is>
      </c>
      <c r="J56" s="112">
        <f>SUMIF($C$4:$C$203,$I56,$E$4:$E$203)</f>
        <v/>
      </c>
      <c r="K56" s="113">
        <f>IFERROR($J56/$J$12,0)</f>
        <v/>
      </c>
    </row>
    <row r="57" ht="15.75" customHeight="1" s="52">
      <c r="A57" s="114" t="n"/>
      <c r="B57" s="76" t="n"/>
      <c r="C57" s="76" t="n"/>
      <c r="D57" s="109">
        <f t="array" ref="D57:D57">IFERROR(INDEX(GroupLookup,MATCH(C57,CategoryList,0)),"")</f>
        <v/>
      </c>
      <c r="E57" s="112" t="n"/>
      <c r="F57" s="76" t="n"/>
      <c r="G57" s="76" t="n"/>
      <c r="I57" s="75" t="inlineStr">
        <is>
          <t>ওষুধ</t>
        </is>
      </c>
      <c r="J57" s="110">
        <f>SUMIF($C$4:$C$203,$I57,$E$4:$E$203)</f>
        <v/>
      </c>
      <c r="K57" s="111">
        <f>IFERROR($J57/$J$12,0)</f>
        <v/>
      </c>
    </row>
    <row r="58" ht="15.75" customHeight="1" s="52">
      <c r="A58" s="108" t="n"/>
      <c r="B58" s="75" t="n"/>
      <c r="C58" s="75" t="n"/>
      <c r="D58" s="109">
        <f t="array" ref="D58:D58">IFERROR(INDEX(GroupLookup,MATCH(C58,CategoryList,0)),"")</f>
        <v/>
      </c>
      <c r="E58" s="110" t="n"/>
      <c r="F58" s="75" t="n"/>
      <c r="G58" s="75" t="n"/>
      <c r="I58" s="76" t="inlineStr">
        <is>
          <t>ডাক্তারের ফি</t>
        </is>
      </c>
      <c r="J58" s="112">
        <f>SUMIF($C$4:$C$203,$I58,$E$4:$E$203)</f>
        <v/>
      </c>
      <c r="K58" s="113">
        <f>IFERROR($J58/$J$12,0)</f>
        <v/>
      </c>
    </row>
    <row r="59" ht="15.75" customHeight="1" s="52">
      <c r="A59" s="114" t="n"/>
      <c r="B59" s="76" t="n"/>
      <c r="C59" s="76" t="n"/>
      <c r="D59" s="109">
        <f t="array" ref="D59:D59">IFERROR(INDEX(GroupLookup,MATCH(C59,CategoryList,0)),"")</f>
        <v/>
      </c>
      <c r="E59" s="112" t="n"/>
      <c r="F59" s="76" t="n"/>
      <c r="G59" s="76" t="n"/>
      <c r="I59" s="75" t="inlineStr">
        <is>
          <t>চিকিৎসা পরীক্ষা</t>
        </is>
      </c>
      <c r="J59" s="110">
        <f>SUMIF($C$4:$C$203,$I59,$E$4:$E$203)</f>
        <v/>
      </c>
      <c r="K59" s="111">
        <f>IFERROR($J59/$J$12,0)</f>
        <v/>
      </c>
    </row>
    <row r="60" ht="15.75" customHeight="1" s="52">
      <c r="A60" s="108" t="n"/>
      <c r="B60" s="75" t="n"/>
      <c r="C60" s="75" t="n"/>
      <c r="D60" s="109">
        <f t="array" ref="D60:D60">IFERROR(INDEX(GroupLookup,MATCH(C60,CategoryList,0)),"")</f>
        <v/>
      </c>
      <c r="E60" s="110" t="n"/>
      <c r="F60" s="75" t="n"/>
      <c r="G60" s="75" t="n"/>
      <c r="I60" s="76" t="inlineStr">
        <is>
          <t>স্বাস্থ্য বীমা</t>
        </is>
      </c>
      <c r="J60" s="112">
        <f>SUMIF($C$4:$C$203,$I60,$E$4:$E$203)</f>
        <v/>
      </c>
      <c r="K60" s="113">
        <f>IFERROR($J60/$J$12,0)</f>
        <v/>
      </c>
    </row>
    <row r="61" ht="15.75" customHeight="1" s="52">
      <c r="A61" s="114" t="n"/>
      <c r="B61" s="76" t="n"/>
      <c r="C61" s="76" t="n"/>
      <c r="D61" s="109">
        <f t="array" ref="D61:D61">IFERROR(INDEX(GroupLookup,MATCH(C61,CategoryList,0)),"")</f>
        <v/>
      </c>
      <c r="E61" s="112" t="n"/>
      <c r="F61" s="76" t="n"/>
      <c r="G61" s="76" t="n"/>
      <c r="I61" s="75" t="inlineStr">
        <is>
          <t>স্কুল / কলেজ ফি</t>
        </is>
      </c>
      <c r="J61" s="110">
        <f>SUMIF($C$4:$C$203,$I61,$E$4:$E$203)</f>
        <v/>
      </c>
      <c r="K61" s="111">
        <f>IFERROR($J61/$J$12,0)</f>
        <v/>
      </c>
    </row>
    <row r="62" ht="15.75" customHeight="1" s="52">
      <c r="A62" s="108" t="n"/>
      <c r="B62" s="75" t="n"/>
      <c r="C62" s="75" t="n"/>
      <c r="D62" s="109">
        <f t="array" ref="D62:D62">IFERROR(INDEX(GroupLookup,MATCH(C62,CategoryList,0)),"")</f>
        <v/>
      </c>
      <c r="E62" s="110" t="n"/>
      <c r="F62" s="75" t="n"/>
      <c r="G62" s="75" t="n"/>
      <c r="I62" s="76" t="inlineStr">
        <is>
          <t>প্রাইভেট / কোচিং</t>
        </is>
      </c>
      <c r="J62" s="112">
        <f>SUMIF($C$4:$C$203,$I62,$E$4:$E$203)</f>
        <v/>
      </c>
      <c r="K62" s="113">
        <f>IFERROR($J62/$J$12,0)</f>
        <v/>
      </c>
    </row>
    <row r="63" ht="15.75" customHeight="1" s="52">
      <c r="A63" s="114" t="n"/>
      <c r="B63" s="76" t="n"/>
      <c r="C63" s="76" t="n"/>
      <c r="D63" s="109">
        <f t="array" ref="D63:D63">IFERROR(INDEX(GroupLookup,MATCH(C63,CategoryList,0)),"")</f>
        <v/>
      </c>
      <c r="E63" s="112" t="n"/>
      <c r="F63" s="76" t="n"/>
      <c r="G63" s="76" t="n"/>
      <c r="I63" s="75" t="inlineStr">
        <is>
          <t>বই ও শিক্ষা উপকরণ</t>
        </is>
      </c>
      <c r="J63" s="110">
        <f>SUMIF($C$4:$C$203,$I63,$E$4:$E$203)</f>
        <v/>
      </c>
      <c r="K63" s="111">
        <f>IFERROR($J63/$J$12,0)</f>
        <v/>
      </c>
    </row>
    <row r="64" ht="15.75" customHeight="1" s="52">
      <c r="A64" s="108" t="n"/>
      <c r="B64" s="75" t="n"/>
      <c r="C64" s="75" t="n"/>
      <c r="D64" s="109">
        <f t="array" ref="D64:D64">IFERROR(INDEX(GroupLookup,MATCH(C64,CategoryList,0)),"")</f>
        <v/>
      </c>
      <c r="E64" s="110" t="n"/>
      <c r="F64" s="75" t="n"/>
      <c r="G64" s="75" t="n"/>
      <c r="I64" s="76" t="inlineStr">
        <is>
          <t>পরীক্ষার ফি</t>
        </is>
      </c>
      <c r="J64" s="112">
        <f>SUMIF($C$4:$C$203,$I64,$E$4:$E$203)</f>
        <v/>
      </c>
      <c r="K64" s="113">
        <f>IFERROR($J64/$J$12,0)</f>
        <v/>
      </c>
    </row>
    <row r="65" ht="15.75" customHeight="1" s="52">
      <c r="A65" s="114" t="n"/>
      <c r="B65" s="76" t="n"/>
      <c r="C65" s="76" t="n"/>
      <c r="D65" s="109">
        <f t="array" ref="D65:D65">IFERROR(INDEX(GroupLookup,MATCH(C65,CategoryList,0)),"")</f>
        <v/>
      </c>
      <c r="E65" s="112" t="n"/>
      <c r="F65" s="76" t="n"/>
      <c r="G65" s="76" t="n"/>
      <c r="I65" s="75" t="inlineStr">
        <is>
          <t>পোশাক ও জুতা</t>
        </is>
      </c>
      <c r="J65" s="110">
        <f>SUMIF($C$4:$C$203,$I65,$E$4:$E$203)</f>
        <v/>
      </c>
      <c r="K65" s="111">
        <f>IFERROR($J65/$J$12,0)</f>
        <v/>
      </c>
    </row>
    <row r="66" ht="15.75" customHeight="1" s="52">
      <c r="A66" s="108" t="n"/>
      <c r="B66" s="75" t="n"/>
      <c r="C66" s="75" t="n"/>
      <c r="D66" s="109">
        <f t="array" ref="D66:D66">IFERROR(INDEX(GroupLookup,MATCH(C66,CategoryList,0)),"")</f>
        <v/>
      </c>
      <c r="E66" s="110" t="n"/>
      <c r="F66" s="75" t="n"/>
      <c r="G66" s="75" t="n"/>
      <c r="I66" s="76" t="inlineStr">
        <is>
          <t>প্রসাধনী ও পরিচর্যা</t>
        </is>
      </c>
      <c r="J66" s="112">
        <f>SUMIF($C$4:$C$203,$I66,$E$4:$E$203)</f>
        <v/>
      </c>
      <c r="K66" s="113">
        <f>IFERROR($J66/$J$12,0)</f>
        <v/>
      </c>
    </row>
    <row r="67" ht="15.75" customHeight="1" s="52">
      <c r="A67" s="114" t="n"/>
      <c r="B67" s="76" t="n"/>
      <c r="C67" s="76" t="n"/>
      <c r="D67" s="109">
        <f t="array" ref="D67:D67">IFERROR(INDEX(GroupLookup,MATCH(C67,CategoryList,0)),"")</f>
        <v/>
      </c>
      <c r="E67" s="112" t="n"/>
      <c r="F67" s="76" t="n"/>
      <c r="G67" s="76" t="n"/>
      <c r="I67" s="75" t="inlineStr">
        <is>
          <t>সাবান ও ডিটারজেন্ট</t>
        </is>
      </c>
      <c r="J67" s="110">
        <f>SUMIF($C$4:$C$203,$I67,$E$4:$E$203)</f>
        <v/>
      </c>
      <c r="K67" s="111">
        <f>IFERROR($J67/$J$12,0)</f>
        <v/>
      </c>
    </row>
    <row r="68" ht="15.75" customHeight="1" s="52">
      <c r="A68" s="108" t="n"/>
      <c r="B68" s="75" t="n"/>
      <c r="C68" s="75" t="n"/>
      <c r="D68" s="109">
        <f t="array" ref="D68:D68">IFERROR(INDEX(GroupLookup,MATCH(C68,CategoryList,0)),"")</f>
        <v/>
      </c>
      <c r="E68" s="110" t="n"/>
      <c r="F68" s="75" t="n"/>
      <c r="G68" s="75" t="n"/>
      <c r="I68" s="76" t="inlineStr">
        <is>
          <t>গৃহস্থালি সামগ্রী</t>
        </is>
      </c>
      <c r="J68" s="112">
        <f>SUMIF($C$4:$C$203,$I68,$E$4:$E$203)</f>
        <v/>
      </c>
      <c r="K68" s="113">
        <f>IFERROR($J68/$J$12,0)</f>
        <v/>
      </c>
    </row>
    <row r="69" ht="15.75" customHeight="1" s="52">
      <c r="A69" s="114" t="n"/>
      <c r="B69" s="76" t="n"/>
      <c r="C69" s="76" t="n"/>
      <c r="D69" s="109">
        <f t="array" ref="D69:D69">IFERROR(INDEX(GroupLookup,MATCH(C69,CategoryList,0)),"")</f>
        <v/>
      </c>
      <c r="E69" s="112" t="n"/>
      <c r="F69" s="76" t="n"/>
      <c r="G69" s="76" t="n"/>
      <c r="I69" s="75" t="inlineStr">
        <is>
          <t>সেলুন / পার্লার</t>
        </is>
      </c>
      <c r="J69" s="110">
        <f>SUMIF($C$4:$C$203,$I69,$E$4:$E$203)</f>
        <v/>
      </c>
      <c r="K69" s="111">
        <f>IFERROR($J69/$J$12,0)</f>
        <v/>
      </c>
    </row>
    <row r="70" ht="15.75" customHeight="1" s="52">
      <c r="A70" s="108" t="n"/>
      <c r="B70" s="75" t="n"/>
      <c r="C70" s="75" t="n"/>
      <c r="D70" s="109">
        <f t="array" ref="D70:D70">IFERROR(INDEX(GroupLookup,MATCH(C70,CategoryList,0)),"")</f>
        <v/>
      </c>
      <c r="E70" s="110" t="n"/>
      <c r="F70" s="75" t="n"/>
      <c r="G70" s="75" t="n"/>
      <c r="I70" s="76" t="inlineStr">
        <is>
          <t>বিনোদন ও ঘোরাঘুরি</t>
        </is>
      </c>
      <c r="J70" s="112">
        <f>SUMIF($C$4:$C$203,$I70,$E$4:$E$203)</f>
        <v/>
      </c>
      <c r="K70" s="113">
        <f>IFERROR($J70/$J$12,0)</f>
        <v/>
      </c>
    </row>
    <row r="71" ht="15.75" customHeight="1" s="52">
      <c r="A71" s="114" t="n"/>
      <c r="B71" s="76" t="n"/>
      <c r="C71" s="76" t="n"/>
      <c r="D71" s="109">
        <f t="array" ref="D71:D71">IFERROR(INDEX(GroupLookup,MATCH(C71,CategoryList,0)),"")</f>
        <v/>
      </c>
      <c r="E71" s="112" t="n"/>
      <c r="F71" s="76" t="n"/>
      <c r="G71" s="76" t="n"/>
      <c r="I71" s="75" t="inlineStr">
        <is>
          <t>উপহার ও অনুষ্ঠান</t>
        </is>
      </c>
      <c r="J71" s="110">
        <f>SUMIF($C$4:$C$203,$I71,$E$4:$E$203)</f>
        <v/>
      </c>
      <c r="K71" s="111">
        <f>IFERROR($J71/$J$12,0)</f>
        <v/>
      </c>
    </row>
    <row r="72" ht="15.75" customHeight="1" s="52">
      <c r="A72" s="108" t="n"/>
      <c r="B72" s="75" t="n"/>
      <c r="C72" s="75" t="n"/>
      <c r="D72" s="109">
        <f t="array" ref="D72:D72">IFERROR(INDEX(GroupLookup,MATCH(C72,CategoryList,0)),"")</f>
        <v/>
      </c>
      <c r="E72" s="110" t="n"/>
      <c r="F72" s="75" t="n"/>
      <c r="G72" s="75" t="n"/>
      <c r="I72" s="76" t="inlineStr">
        <is>
          <t>দান ও যাকাত</t>
        </is>
      </c>
      <c r="J72" s="112">
        <f>SUMIF($C$4:$C$203,$I72,$E$4:$E$203)</f>
        <v/>
      </c>
      <c r="K72" s="113">
        <f>IFERROR($J72/$J$12,0)</f>
        <v/>
      </c>
    </row>
    <row r="73" ht="15.75" customHeight="1" s="52">
      <c r="A73" s="114" t="n"/>
      <c r="B73" s="76" t="n"/>
      <c r="C73" s="76" t="n"/>
      <c r="D73" s="109">
        <f t="array" ref="D73:D73">IFERROR(INDEX(GroupLookup,MATCH(C73,CategoryList,0)),"")</f>
        <v/>
      </c>
      <c r="E73" s="112" t="n"/>
      <c r="F73" s="76" t="n"/>
      <c r="G73" s="76" t="n"/>
      <c r="I73" s="75" t="inlineStr">
        <is>
          <t>সঞ্চয় ও বিনিয়োগ</t>
        </is>
      </c>
      <c r="J73" s="110">
        <f>SUMIF($C$4:$C$203,$I73,$E$4:$E$203)</f>
        <v/>
      </c>
      <c r="K73" s="111">
        <f>IFERROR($J73/$J$12,0)</f>
        <v/>
      </c>
    </row>
    <row r="74" ht="15.75" customHeight="1" s="52">
      <c r="A74" s="108" t="n"/>
      <c r="B74" s="75" t="n"/>
      <c r="C74" s="75" t="n"/>
      <c r="D74" s="109">
        <f t="array" ref="D74:D74">IFERROR(INDEX(GroupLookup,MATCH(C74,CategoryList,0)),"")</f>
        <v/>
      </c>
      <c r="E74" s="110" t="n"/>
      <c r="F74" s="75" t="n"/>
      <c r="G74" s="75" t="n"/>
      <c r="I74" s="76" t="inlineStr">
        <is>
          <t>ঋণ পরিশোধ / কিস্তি</t>
        </is>
      </c>
      <c r="J74" s="112">
        <f>SUMIF($C$4:$C$203,$I74,$E$4:$E$203)</f>
        <v/>
      </c>
      <c r="K74" s="113">
        <f>IFERROR($J74/$J$12,0)</f>
        <v/>
      </c>
    </row>
    <row r="75" ht="15.75" customHeight="1" s="52">
      <c r="A75" s="114" t="n"/>
      <c r="B75" s="76" t="n"/>
      <c r="C75" s="76" t="n"/>
      <c r="D75" s="109">
        <f t="array" ref="D75:D75">IFERROR(INDEX(GroupLookup,MATCH(C75,CategoryList,0)),"")</f>
        <v/>
      </c>
      <c r="E75" s="112" t="n"/>
      <c r="F75" s="76" t="n"/>
      <c r="G75" s="76" t="n"/>
      <c r="I75" s="75" t="inlineStr">
        <is>
          <t>বীমা প্রিমিয়াম</t>
        </is>
      </c>
      <c r="J75" s="110">
        <f>SUMIF($C$4:$C$203,$I75,$E$4:$E$203)</f>
        <v/>
      </c>
      <c r="K75" s="111">
        <f>IFERROR($J75/$J$12,0)</f>
        <v/>
      </c>
    </row>
    <row r="76" ht="15.75" customHeight="1" s="52">
      <c r="A76" s="108" t="n"/>
      <c r="B76" s="75" t="n"/>
      <c r="C76" s="75" t="n"/>
      <c r="D76" s="109">
        <f t="array" ref="D76:D76">IFERROR(INDEX(GroupLookup,MATCH(C76,CategoryList,0)),"")</f>
        <v/>
      </c>
      <c r="E76" s="110" t="n"/>
      <c r="F76" s="75" t="n"/>
      <c r="G76" s="75" t="n"/>
      <c r="I76" s="76" t="inlineStr">
        <is>
          <t>অন্যান্য খরচ</t>
        </is>
      </c>
      <c r="J76" s="112">
        <f>SUMIF($C$4:$C$203,$I76,$E$4:$E$203)</f>
        <v/>
      </c>
      <c r="K76" s="113">
        <f>IFERROR($J76/$J$12,0)</f>
        <v/>
      </c>
    </row>
    <row r="77" ht="15.75" customHeight="1" s="52">
      <c r="A77" s="114" t="n"/>
      <c r="B77" s="76" t="n"/>
      <c r="C77" s="76" t="n"/>
      <c r="D77" s="109">
        <f t="array" ref="D77:D77">IFERROR(INDEX(GroupLookup,MATCH(C77,CategoryList,0)),"")</f>
        <v/>
      </c>
      <c r="E77" s="112" t="n"/>
      <c r="F77" s="76" t="n"/>
      <c r="G77" s="76" t="n"/>
      <c r="I77" s="72" t="inlineStr">
        <is>
          <t>সর্বমোট</t>
        </is>
      </c>
      <c r="J77" s="117">
        <f>SUM($J$23:$J$76)</f>
        <v/>
      </c>
      <c r="K77" s="118">
        <f>IFERROR($J$77/$J$12,0)</f>
        <v/>
      </c>
    </row>
    <row r="78" ht="15.75" customHeight="1" s="52">
      <c r="A78" s="108" t="n"/>
      <c r="B78" s="75" t="n"/>
      <c r="C78" s="75" t="n"/>
      <c r="D78" s="109">
        <f t="array" ref="D78:D78">IFERROR(INDEX(GroupLookup,MATCH(C78,CategoryList,0)),"")</f>
        <v/>
      </c>
      <c r="E78" s="110" t="n"/>
      <c r="F78" s="75" t="n"/>
      <c r="G78" s="75" t="n"/>
    </row>
    <row r="79" ht="15.75" customHeight="1" s="52">
      <c r="A79" s="114" t="n"/>
      <c r="B79" s="76" t="n"/>
      <c r="C79" s="76" t="n"/>
      <c r="D79" s="109">
        <f t="array" ref="D79:D79">IFERROR(INDEX(GroupLookup,MATCH(C79,CategoryList,0)),"")</f>
        <v/>
      </c>
      <c r="E79" s="112" t="n"/>
      <c r="F79" s="76" t="n"/>
      <c r="G79" s="76" t="n"/>
    </row>
    <row r="80" ht="15.75" customHeight="1" s="52">
      <c r="A80" s="108" t="n"/>
      <c r="B80" s="75" t="n"/>
      <c r="C80" s="75" t="n"/>
      <c r="D80" s="109">
        <f t="array" ref="D80:D80">IFERROR(INDEX(GroupLookup,MATCH(C80,CategoryList,0)),"")</f>
        <v/>
      </c>
      <c r="E80" s="110" t="n"/>
      <c r="F80" s="75" t="n"/>
      <c r="G80" s="75" t="n"/>
    </row>
    <row r="81" ht="15.75" customHeight="1" s="52">
      <c r="A81" s="114" t="n"/>
      <c r="B81" s="76" t="n"/>
      <c r="C81" s="76" t="n"/>
      <c r="D81" s="109">
        <f t="array" ref="D81:D81">IFERROR(INDEX(GroupLookup,MATCH(C81,CategoryList,0)),"")</f>
        <v/>
      </c>
      <c r="E81" s="112" t="n"/>
      <c r="F81" s="76" t="n"/>
      <c r="G81" s="76" t="n"/>
    </row>
    <row r="82" ht="15.75" customHeight="1" s="52">
      <c r="A82" s="108" t="n"/>
      <c r="B82" s="75" t="n"/>
      <c r="C82" s="75" t="n"/>
      <c r="D82" s="109">
        <f t="array" ref="D82:D82">IFERROR(INDEX(GroupLookup,MATCH(C82,CategoryList,0)),"")</f>
        <v/>
      </c>
      <c r="E82" s="110" t="n"/>
      <c r="F82" s="75" t="n"/>
      <c r="G82" s="75" t="n"/>
    </row>
    <row r="83" ht="15.75" customHeight="1" s="52">
      <c r="A83" s="114" t="n"/>
      <c r="B83" s="76" t="n"/>
      <c r="C83" s="76" t="n"/>
      <c r="D83" s="109">
        <f t="array" ref="D83:D83">IFERROR(INDEX(GroupLookup,MATCH(C83,CategoryList,0)),"")</f>
        <v/>
      </c>
      <c r="E83" s="112" t="n"/>
      <c r="F83" s="76" t="n"/>
      <c r="G83" s="76" t="n"/>
    </row>
    <row r="84" ht="15.75" customHeight="1" s="52">
      <c r="A84" s="108" t="n"/>
      <c r="B84" s="75" t="n"/>
      <c r="C84" s="75" t="n"/>
      <c r="D84" s="109">
        <f t="array" ref="D84:D84">IFERROR(INDEX(GroupLookup,MATCH(C84,CategoryList,0)),"")</f>
        <v/>
      </c>
      <c r="E84" s="110" t="n"/>
      <c r="F84" s="75" t="n"/>
      <c r="G84" s="75" t="n"/>
    </row>
    <row r="85" ht="15.75" customHeight="1" s="52">
      <c r="A85" s="114" t="n"/>
      <c r="B85" s="76" t="n"/>
      <c r="C85" s="76" t="n"/>
      <c r="D85" s="109">
        <f t="array" ref="D85:D85">IFERROR(INDEX(GroupLookup,MATCH(C85,CategoryList,0)),"")</f>
        <v/>
      </c>
      <c r="E85" s="112" t="n"/>
      <c r="F85" s="76" t="n"/>
      <c r="G85" s="76" t="n"/>
    </row>
    <row r="86" ht="15.75" customHeight="1" s="52">
      <c r="A86" s="108" t="n"/>
      <c r="B86" s="75" t="n"/>
      <c r="C86" s="75" t="n"/>
      <c r="D86" s="109">
        <f t="array" ref="D86:D86">IFERROR(INDEX(GroupLookup,MATCH(C86,CategoryList,0)),"")</f>
        <v/>
      </c>
      <c r="E86" s="110" t="n"/>
      <c r="F86" s="75" t="n"/>
      <c r="G86" s="75" t="n"/>
    </row>
    <row r="87" ht="15.75" customHeight="1" s="52">
      <c r="A87" s="114" t="n"/>
      <c r="B87" s="76" t="n"/>
      <c r="C87" s="76" t="n"/>
      <c r="D87" s="109">
        <f t="array" ref="D87:D87">IFERROR(INDEX(GroupLookup,MATCH(C87,CategoryList,0)),"")</f>
        <v/>
      </c>
      <c r="E87" s="112" t="n"/>
      <c r="F87" s="76" t="n"/>
      <c r="G87" s="76" t="n"/>
    </row>
    <row r="88" ht="15.75" customHeight="1" s="52">
      <c r="A88" s="108" t="n"/>
      <c r="B88" s="75" t="n"/>
      <c r="C88" s="75" t="n"/>
      <c r="D88" s="109">
        <f t="array" ref="D88:D88">IFERROR(INDEX(GroupLookup,MATCH(C88,CategoryList,0)),"")</f>
        <v/>
      </c>
      <c r="E88" s="110" t="n"/>
      <c r="F88" s="75" t="n"/>
      <c r="G88" s="75" t="n"/>
    </row>
    <row r="89" ht="15.75" customHeight="1" s="52">
      <c r="A89" s="114" t="n"/>
      <c r="B89" s="76" t="n"/>
      <c r="C89" s="76" t="n"/>
      <c r="D89" s="109">
        <f t="array" ref="D89:D89">IFERROR(INDEX(GroupLookup,MATCH(C89,CategoryList,0)),"")</f>
        <v/>
      </c>
      <c r="E89" s="112" t="n"/>
      <c r="F89" s="76" t="n"/>
      <c r="G89" s="76" t="n"/>
    </row>
    <row r="90" ht="15.75" customHeight="1" s="52">
      <c r="A90" s="108" t="n"/>
      <c r="B90" s="75" t="n"/>
      <c r="C90" s="75" t="n"/>
      <c r="D90" s="109">
        <f t="array" ref="D90:D90">IFERROR(INDEX(GroupLookup,MATCH(C90,CategoryList,0)),"")</f>
        <v/>
      </c>
      <c r="E90" s="110" t="n"/>
      <c r="F90" s="75" t="n"/>
      <c r="G90" s="75" t="n"/>
    </row>
    <row r="91" ht="15.75" customHeight="1" s="52">
      <c r="A91" s="114" t="n"/>
      <c r="B91" s="76" t="n"/>
      <c r="C91" s="76" t="n"/>
      <c r="D91" s="109">
        <f t="array" ref="D91:D91">IFERROR(INDEX(GroupLookup,MATCH(C91,CategoryList,0)),"")</f>
        <v/>
      </c>
      <c r="E91" s="112" t="n"/>
      <c r="F91" s="76" t="n"/>
      <c r="G91" s="76" t="n"/>
    </row>
    <row r="92" ht="15.75" customHeight="1" s="52">
      <c r="A92" s="108" t="n"/>
      <c r="B92" s="75" t="n"/>
      <c r="C92" s="75" t="n"/>
      <c r="D92" s="109">
        <f t="array" ref="D92:D92">IFERROR(INDEX(GroupLookup,MATCH(C92,CategoryList,0)),"")</f>
        <v/>
      </c>
      <c r="E92" s="110" t="n"/>
      <c r="F92" s="75" t="n"/>
      <c r="G92" s="75" t="n"/>
    </row>
    <row r="93" ht="15.75" customHeight="1" s="52">
      <c r="A93" s="114" t="n"/>
      <c r="B93" s="76" t="n"/>
      <c r="C93" s="76" t="n"/>
      <c r="D93" s="109">
        <f t="array" ref="D93:D93">IFERROR(INDEX(GroupLookup,MATCH(C93,CategoryList,0)),"")</f>
        <v/>
      </c>
      <c r="E93" s="112" t="n"/>
      <c r="F93" s="76" t="n"/>
      <c r="G93" s="76" t="n"/>
    </row>
    <row r="94" ht="15.75" customHeight="1" s="52">
      <c r="A94" s="108" t="n"/>
      <c r="B94" s="75" t="n"/>
      <c r="C94" s="75" t="n"/>
      <c r="D94" s="109">
        <f t="array" ref="D94:D94">IFERROR(INDEX(GroupLookup,MATCH(C94,CategoryList,0)),"")</f>
        <v/>
      </c>
      <c r="E94" s="110" t="n"/>
      <c r="F94" s="75" t="n"/>
      <c r="G94" s="75" t="n"/>
    </row>
    <row r="95" ht="15.75" customHeight="1" s="52">
      <c r="A95" s="114" t="n"/>
      <c r="B95" s="76" t="n"/>
      <c r="C95" s="76" t="n"/>
      <c r="D95" s="109">
        <f t="array" ref="D95:D95">IFERROR(INDEX(GroupLookup,MATCH(C95,CategoryList,0)),"")</f>
        <v/>
      </c>
      <c r="E95" s="112" t="n"/>
      <c r="F95" s="76" t="n"/>
      <c r="G95" s="76" t="n"/>
    </row>
    <row r="96" ht="15.75" customHeight="1" s="52">
      <c r="A96" s="108" t="n"/>
      <c r="B96" s="75" t="n"/>
      <c r="C96" s="75" t="n"/>
      <c r="D96" s="109">
        <f t="array" ref="D96:D96">IFERROR(INDEX(GroupLookup,MATCH(C96,CategoryList,0)),"")</f>
        <v/>
      </c>
      <c r="E96" s="110" t="n"/>
      <c r="F96" s="75" t="n"/>
      <c r="G96" s="75" t="n"/>
    </row>
    <row r="97" ht="15.75" customHeight="1" s="52">
      <c r="A97" s="114" t="n"/>
      <c r="B97" s="76" t="n"/>
      <c r="C97" s="76" t="n"/>
      <c r="D97" s="109">
        <f t="array" ref="D97:D97">IFERROR(INDEX(GroupLookup,MATCH(C97,CategoryList,0)),"")</f>
        <v/>
      </c>
      <c r="E97" s="112" t="n"/>
      <c r="F97" s="76" t="n"/>
      <c r="G97" s="76" t="n"/>
    </row>
    <row r="98" ht="15.75" customHeight="1" s="52">
      <c r="A98" s="108" t="n"/>
      <c r="B98" s="75" t="n"/>
      <c r="C98" s="75" t="n"/>
      <c r="D98" s="109">
        <f t="array" ref="D98:D98">IFERROR(INDEX(GroupLookup,MATCH(C98,CategoryList,0)),"")</f>
        <v/>
      </c>
      <c r="E98" s="110" t="n"/>
      <c r="F98" s="75" t="n"/>
      <c r="G98" s="75" t="n"/>
    </row>
    <row r="99" ht="15.75" customHeight="1" s="52">
      <c r="A99" s="114" t="n"/>
      <c r="B99" s="76" t="n"/>
      <c r="C99" s="76" t="n"/>
      <c r="D99" s="109">
        <f t="array" ref="D99:D99">IFERROR(INDEX(GroupLookup,MATCH(C99,CategoryList,0)),"")</f>
        <v/>
      </c>
      <c r="E99" s="112" t="n"/>
      <c r="F99" s="76" t="n"/>
      <c r="G99" s="76" t="n"/>
    </row>
    <row r="100" ht="15.75" customHeight="1" s="52">
      <c r="A100" s="108" t="n"/>
      <c r="B100" s="75" t="n"/>
      <c r="C100" s="75" t="n"/>
      <c r="D100" s="109">
        <f t="array" ref="D100:D100">IFERROR(INDEX(GroupLookup,MATCH(C100,CategoryList,0)),"")</f>
        <v/>
      </c>
      <c r="E100" s="110" t="n"/>
      <c r="F100" s="75" t="n"/>
      <c r="G100" s="75" t="n"/>
    </row>
    <row r="101" ht="15.75" customHeight="1" s="52">
      <c r="A101" s="114" t="n"/>
      <c r="B101" s="76" t="n"/>
      <c r="C101" s="76" t="n"/>
      <c r="D101" s="109">
        <f t="array" ref="D101:D101">IFERROR(INDEX(GroupLookup,MATCH(C101,CategoryList,0)),"")</f>
        <v/>
      </c>
      <c r="E101" s="112" t="n"/>
      <c r="F101" s="76" t="n"/>
      <c r="G101" s="76" t="n"/>
    </row>
    <row r="102" ht="15.75" customHeight="1" s="52">
      <c r="A102" s="108" t="n"/>
      <c r="B102" s="75" t="n"/>
      <c r="C102" s="75" t="n"/>
      <c r="D102" s="109">
        <f t="array" ref="D102:D102">IFERROR(INDEX(GroupLookup,MATCH(C102,CategoryList,0)),"")</f>
        <v/>
      </c>
      <c r="E102" s="110" t="n"/>
      <c r="F102" s="75" t="n"/>
      <c r="G102" s="75" t="n"/>
    </row>
    <row r="103" ht="15.75" customHeight="1" s="52">
      <c r="A103" s="114" t="n"/>
      <c r="B103" s="76" t="n"/>
      <c r="C103" s="76" t="n"/>
      <c r="D103" s="109">
        <f t="array" ref="D103:D103">IFERROR(INDEX(GroupLookup,MATCH(C103,CategoryList,0)),"")</f>
        <v/>
      </c>
      <c r="E103" s="112" t="n"/>
      <c r="F103" s="76" t="n"/>
      <c r="G103" s="76" t="n"/>
    </row>
    <row r="104" ht="15.75" customHeight="1" s="52">
      <c r="A104" s="108" t="n"/>
      <c r="B104" s="75" t="n"/>
      <c r="C104" s="75" t="n"/>
      <c r="D104" s="109">
        <f t="array" ref="D104:D104">IFERROR(INDEX(GroupLookup,MATCH(C104,CategoryList,0)),"")</f>
        <v/>
      </c>
      <c r="E104" s="110" t="n"/>
      <c r="F104" s="75" t="n"/>
      <c r="G104" s="75" t="n"/>
    </row>
    <row r="105" ht="15.75" customHeight="1" s="52">
      <c r="A105" s="114" t="n"/>
      <c r="B105" s="76" t="n"/>
      <c r="C105" s="76" t="n"/>
      <c r="D105" s="109">
        <f t="array" ref="D105:D105">IFERROR(INDEX(GroupLookup,MATCH(C105,CategoryList,0)),"")</f>
        <v/>
      </c>
      <c r="E105" s="112" t="n"/>
      <c r="F105" s="76" t="n"/>
      <c r="G105" s="76" t="n"/>
    </row>
    <row r="106" ht="15.75" customHeight="1" s="52">
      <c r="A106" s="108" t="n"/>
      <c r="B106" s="75" t="n"/>
      <c r="C106" s="75" t="n"/>
      <c r="D106" s="109">
        <f t="array" ref="D106:D106">IFERROR(INDEX(GroupLookup,MATCH(C106,CategoryList,0)),"")</f>
        <v/>
      </c>
      <c r="E106" s="110" t="n"/>
      <c r="F106" s="75" t="n"/>
      <c r="G106" s="75" t="n"/>
    </row>
    <row r="107" ht="15.75" customHeight="1" s="52">
      <c r="A107" s="114" t="n"/>
      <c r="B107" s="76" t="n"/>
      <c r="C107" s="76" t="n"/>
      <c r="D107" s="109">
        <f t="array" ref="D107:D107">IFERROR(INDEX(GroupLookup,MATCH(C107,CategoryList,0)),"")</f>
        <v/>
      </c>
      <c r="E107" s="112" t="n"/>
      <c r="F107" s="76" t="n"/>
      <c r="G107" s="76" t="n"/>
    </row>
    <row r="108" ht="15.75" customHeight="1" s="52">
      <c r="A108" s="108" t="n"/>
      <c r="B108" s="75" t="n"/>
      <c r="C108" s="75" t="n"/>
      <c r="D108" s="109">
        <f t="array" ref="D108:D108">IFERROR(INDEX(GroupLookup,MATCH(C108,CategoryList,0)),"")</f>
        <v/>
      </c>
      <c r="E108" s="110" t="n"/>
      <c r="F108" s="75" t="n"/>
      <c r="G108" s="75" t="n"/>
    </row>
    <row r="109" ht="15.75" customHeight="1" s="52">
      <c r="A109" s="114" t="n"/>
      <c r="B109" s="76" t="n"/>
      <c r="C109" s="76" t="n"/>
      <c r="D109" s="109">
        <f t="array" ref="D109:D109">IFERROR(INDEX(GroupLookup,MATCH(C109,CategoryList,0)),"")</f>
        <v/>
      </c>
      <c r="E109" s="112" t="n"/>
      <c r="F109" s="76" t="n"/>
      <c r="G109" s="76" t="n"/>
    </row>
    <row r="110" ht="15.75" customHeight="1" s="52">
      <c r="A110" s="108" t="n"/>
      <c r="B110" s="75" t="n"/>
      <c r="C110" s="75" t="n"/>
      <c r="D110" s="109">
        <f t="array" ref="D110:D110">IFERROR(INDEX(GroupLookup,MATCH(C110,CategoryList,0)),"")</f>
        <v/>
      </c>
      <c r="E110" s="110" t="n"/>
      <c r="F110" s="75" t="n"/>
      <c r="G110" s="75" t="n"/>
    </row>
    <row r="111" ht="15.75" customHeight="1" s="52">
      <c r="A111" s="114" t="n"/>
      <c r="B111" s="76" t="n"/>
      <c r="C111" s="76" t="n"/>
      <c r="D111" s="109">
        <f t="array" ref="D111:D111">IFERROR(INDEX(GroupLookup,MATCH(C111,CategoryList,0)),"")</f>
        <v/>
      </c>
      <c r="E111" s="112" t="n"/>
      <c r="F111" s="76" t="n"/>
      <c r="G111" s="76" t="n"/>
    </row>
    <row r="112" ht="15.75" customHeight="1" s="52">
      <c r="A112" s="108" t="n"/>
      <c r="B112" s="75" t="n"/>
      <c r="C112" s="75" t="n"/>
      <c r="D112" s="109">
        <f t="array" ref="D112:D112">IFERROR(INDEX(GroupLookup,MATCH(C112,CategoryList,0)),"")</f>
        <v/>
      </c>
      <c r="E112" s="110" t="n"/>
      <c r="F112" s="75" t="n"/>
      <c r="G112" s="75" t="n"/>
    </row>
    <row r="113" ht="15.75" customHeight="1" s="52">
      <c r="A113" s="114" t="n"/>
      <c r="B113" s="76" t="n"/>
      <c r="C113" s="76" t="n"/>
      <c r="D113" s="109">
        <f t="array" ref="D113:D113">IFERROR(INDEX(GroupLookup,MATCH(C113,CategoryList,0)),"")</f>
        <v/>
      </c>
      <c r="E113" s="112" t="n"/>
      <c r="F113" s="76" t="n"/>
      <c r="G113" s="76" t="n"/>
    </row>
    <row r="114" ht="15.75" customHeight="1" s="52">
      <c r="A114" s="108" t="n"/>
      <c r="B114" s="75" t="n"/>
      <c r="C114" s="75" t="n"/>
      <c r="D114" s="109">
        <f t="array" ref="D114:D114">IFERROR(INDEX(GroupLookup,MATCH(C114,CategoryList,0)),"")</f>
        <v/>
      </c>
      <c r="E114" s="110" t="n"/>
      <c r="F114" s="75" t="n"/>
      <c r="G114" s="75" t="n"/>
    </row>
    <row r="115" ht="15.75" customHeight="1" s="52">
      <c r="A115" s="114" t="n"/>
      <c r="B115" s="76" t="n"/>
      <c r="C115" s="76" t="n"/>
      <c r="D115" s="109">
        <f t="array" ref="D115:D115">IFERROR(INDEX(GroupLookup,MATCH(C115,CategoryList,0)),"")</f>
        <v/>
      </c>
      <c r="E115" s="112" t="n"/>
      <c r="F115" s="76" t="n"/>
      <c r="G115" s="76" t="n"/>
    </row>
    <row r="116" ht="15.75" customHeight="1" s="52">
      <c r="A116" s="108" t="n"/>
      <c r="B116" s="75" t="n"/>
      <c r="C116" s="75" t="n"/>
      <c r="D116" s="109">
        <f t="array" ref="D116:D116">IFERROR(INDEX(GroupLookup,MATCH(C116,CategoryList,0)),"")</f>
        <v/>
      </c>
      <c r="E116" s="110" t="n"/>
      <c r="F116" s="75" t="n"/>
      <c r="G116" s="75" t="n"/>
    </row>
    <row r="117" ht="15.75" customHeight="1" s="52">
      <c r="A117" s="114" t="n"/>
      <c r="B117" s="76" t="n"/>
      <c r="C117" s="76" t="n"/>
      <c r="D117" s="109">
        <f t="array" ref="D117:D117">IFERROR(INDEX(GroupLookup,MATCH(C117,CategoryList,0)),"")</f>
        <v/>
      </c>
      <c r="E117" s="112" t="n"/>
      <c r="F117" s="76" t="n"/>
      <c r="G117" s="76" t="n"/>
    </row>
    <row r="118" ht="15.75" customHeight="1" s="52">
      <c r="A118" s="108" t="n"/>
      <c r="B118" s="75" t="n"/>
      <c r="C118" s="75" t="n"/>
      <c r="D118" s="109">
        <f t="array" ref="D118:D118">IFERROR(INDEX(GroupLookup,MATCH(C118,CategoryList,0)),"")</f>
        <v/>
      </c>
      <c r="E118" s="110" t="n"/>
      <c r="F118" s="75" t="n"/>
      <c r="G118" s="75" t="n"/>
    </row>
    <row r="119" ht="15.75" customHeight="1" s="52">
      <c r="A119" s="114" t="n"/>
      <c r="B119" s="76" t="n"/>
      <c r="C119" s="76" t="n"/>
      <c r="D119" s="109">
        <f t="array" ref="D119:D119">IFERROR(INDEX(GroupLookup,MATCH(C119,CategoryList,0)),"")</f>
        <v/>
      </c>
      <c r="E119" s="112" t="n"/>
      <c r="F119" s="76" t="n"/>
      <c r="G119" s="76" t="n"/>
    </row>
    <row r="120" ht="15.75" customHeight="1" s="52">
      <c r="A120" s="108" t="n"/>
      <c r="B120" s="75" t="n"/>
      <c r="C120" s="75" t="n"/>
      <c r="D120" s="109">
        <f t="array" ref="D120:D120">IFERROR(INDEX(GroupLookup,MATCH(C120,CategoryList,0)),"")</f>
        <v/>
      </c>
      <c r="E120" s="110" t="n"/>
      <c r="F120" s="75" t="n"/>
      <c r="G120" s="75" t="n"/>
    </row>
    <row r="121" ht="15.75" customHeight="1" s="52">
      <c r="A121" s="114" t="n"/>
      <c r="B121" s="76" t="n"/>
      <c r="C121" s="76" t="n"/>
      <c r="D121" s="109">
        <f t="array" ref="D121:D121">IFERROR(INDEX(GroupLookup,MATCH(C121,CategoryList,0)),"")</f>
        <v/>
      </c>
      <c r="E121" s="112" t="n"/>
      <c r="F121" s="76" t="n"/>
      <c r="G121" s="76" t="n"/>
    </row>
    <row r="122" ht="15.75" customHeight="1" s="52">
      <c r="A122" s="108" t="n"/>
      <c r="B122" s="75" t="n"/>
      <c r="C122" s="75" t="n"/>
      <c r="D122" s="109">
        <f t="array" ref="D122:D122">IFERROR(INDEX(GroupLookup,MATCH(C122,CategoryList,0)),"")</f>
        <v/>
      </c>
      <c r="E122" s="110" t="n"/>
      <c r="F122" s="75" t="n"/>
      <c r="G122" s="75" t="n"/>
    </row>
    <row r="123" ht="15.75" customHeight="1" s="52">
      <c r="A123" s="114" t="n"/>
      <c r="B123" s="76" t="n"/>
      <c r="C123" s="76" t="n"/>
      <c r="D123" s="109">
        <f t="array" ref="D123:D123">IFERROR(INDEX(GroupLookup,MATCH(C123,CategoryList,0)),"")</f>
        <v/>
      </c>
      <c r="E123" s="112" t="n"/>
      <c r="F123" s="76" t="n"/>
      <c r="G123" s="76" t="n"/>
    </row>
    <row r="124" ht="15.75" customHeight="1" s="52">
      <c r="A124" s="108" t="n"/>
      <c r="B124" s="75" t="n"/>
      <c r="C124" s="75" t="n"/>
      <c r="D124" s="109">
        <f t="array" ref="D124:D124">IFERROR(INDEX(GroupLookup,MATCH(C124,CategoryList,0)),"")</f>
        <v/>
      </c>
      <c r="E124" s="110" t="n"/>
      <c r="F124" s="75" t="n"/>
      <c r="G124" s="75" t="n"/>
    </row>
    <row r="125" ht="15.75" customHeight="1" s="52">
      <c r="A125" s="114" t="n"/>
      <c r="B125" s="76" t="n"/>
      <c r="C125" s="76" t="n"/>
      <c r="D125" s="109">
        <f t="array" ref="D125:D125">IFERROR(INDEX(GroupLookup,MATCH(C125,CategoryList,0)),"")</f>
        <v/>
      </c>
      <c r="E125" s="112" t="n"/>
      <c r="F125" s="76" t="n"/>
      <c r="G125" s="76" t="n"/>
    </row>
    <row r="126" ht="15.75" customHeight="1" s="52">
      <c r="A126" s="108" t="n"/>
      <c r="B126" s="75" t="n"/>
      <c r="C126" s="75" t="n"/>
      <c r="D126" s="109">
        <f t="array" ref="D126:D126">IFERROR(INDEX(GroupLookup,MATCH(C126,CategoryList,0)),"")</f>
        <v/>
      </c>
      <c r="E126" s="110" t="n"/>
      <c r="F126" s="75" t="n"/>
      <c r="G126" s="75" t="n"/>
    </row>
    <row r="127" ht="15.75" customHeight="1" s="52">
      <c r="A127" s="114" t="n"/>
      <c r="B127" s="76" t="n"/>
      <c r="C127" s="76" t="n"/>
      <c r="D127" s="109">
        <f t="array" ref="D127:D127">IFERROR(INDEX(GroupLookup,MATCH(C127,CategoryList,0)),"")</f>
        <v/>
      </c>
      <c r="E127" s="112" t="n"/>
      <c r="F127" s="76" t="n"/>
      <c r="G127" s="76" t="n"/>
    </row>
    <row r="128" ht="15.75" customHeight="1" s="52">
      <c r="A128" s="108" t="n"/>
      <c r="B128" s="75" t="n"/>
      <c r="C128" s="75" t="n"/>
      <c r="D128" s="109">
        <f t="array" ref="D128:D128">IFERROR(INDEX(GroupLookup,MATCH(C128,CategoryList,0)),"")</f>
        <v/>
      </c>
      <c r="E128" s="110" t="n"/>
      <c r="F128" s="75" t="n"/>
      <c r="G128" s="75" t="n"/>
    </row>
    <row r="129" ht="15.75" customHeight="1" s="52">
      <c r="A129" s="114" t="n"/>
      <c r="B129" s="76" t="n"/>
      <c r="C129" s="76" t="n"/>
      <c r="D129" s="109">
        <f t="array" ref="D129:D129">IFERROR(INDEX(GroupLookup,MATCH(C129,CategoryList,0)),"")</f>
        <v/>
      </c>
      <c r="E129" s="112" t="n"/>
      <c r="F129" s="76" t="n"/>
      <c r="G129" s="76" t="n"/>
    </row>
    <row r="130" ht="15.75" customHeight="1" s="52">
      <c r="A130" s="108" t="n"/>
      <c r="B130" s="75" t="n"/>
      <c r="C130" s="75" t="n"/>
      <c r="D130" s="109">
        <f t="array" ref="D130:D130">IFERROR(INDEX(GroupLookup,MATCH(C130,CategoryList,0)),"")</f>
        <v/>
      </c>
      <c r="E130" s="110" t="n"/>
      <c r="F130" s="75" t="n"/>
      <c r="G130" s="75" t="n"/>
    </row>
    <row r="131" ht="15.75" customHeight="1" s="52">
      <c r="A131" s="114" t="n"/>
      <c r="B131" s="76" t="n"/>
      <c r="C131" s="76" t="n"/>
      <c r="D131" s="109">
        <f t="array" ref="D131:D131">IFERROR(INDEX(GroupLookup,MATCH(C131,CategoryList,0)),"")</f>
        <v/>
      </c>
      <c r="E131" s="112" t="n"/>
      <c r="F131" s="76" t="n"/>
      <c r="G131" s="76" t="n"/>
    </row>
    <row r="132" ht="15.75" customHeight="1" s="52">
      <c r="A132" s="108" t="n"/>
      <c r="B132" s="75" t="n"/>
      <c r="C132" s="75" t="n"/>
      <c r="D132" s="109">
        <f t="array" ref="D132:D132">IFERROR(INDEX(GroupLookup,MATCH(C132,CategoryList,0)),"")</f>
        <v/>
      </c>
      <c r="E132" s="110" t="n"/>
      <c r="F132" s="75" t="n"/>
      <c r="G132" s="75" t="n"/>
    </row>
    <row r="133" ht="15.75" customHeight="1" s="52">
      <c r="A133" s="114" t="n"/>
      <c r="B133" s="76" t="n"/>
      <c r="C133" s="76" t="n"/>
      <c r="D133" s="109">
        <f t="array" ref="D133:D133">IFERROR(INDEX(GroupLookup,MATCH(C133,CategoryList,0)),"")</f>
        <v/>
      </c>
      <c r="E133" s="112" t="n"/>
      <c r="F133" s="76" t="n"/>
      <c r="G133" s="76" t="n"/>
    </row>
    <row r="134" ht="15.75" customHeight="1" s="52">
      <c r="A134" s="108" t="n"/>
      <c r="B134" s="75" t="n"/>
      <c r="C134" s="75" t="n"/>
      <c r="D134" s="109">
        <f t="array" ref="D134:D134">IFERROR(INDEX(GroupLookup,MATCH(C134,CategoryList,0)),"")</f>
        <v/>
      </c>
      <c r="E134" s="110" t="n"/>
      <c r="F134" s="75" t="n"/>
      <c r="G134" s="75" t="n"/>
    </row>
    <row r="135" ht="15.75" customHeight="1" s="52">
      <c r="A135" s="114" t="n"/>
      <c r="B135" s="76" t="n"/>
      <c r="C135" s="76" t="n"/>
      <c r="D135" s="109">
        <f t="array" ref="D135:D135">IFERROR(INDEX(GroupLookup,MATCH(C135,CategoryList,0)),"")</f>
        <v/>
      </c>
      <c r="E135" s="112" t="n"/>
      <c r="F135" s="76" t="n"/>
      <c r="G135" s="76" t="n"/>
    </row>
    <row r="136" ht="15.75" customHeight="1" s="52">
      <c r="A136" s="108" t="n"/>
      <c r="B136" s="75" t="n"/>
      <c r="C136" s="75" t="n"/>
      <c r="D136" s="109">
        <f t="array" ref="D136:D136">IFERROR(INDEX(GroupLookup,MATCH(C136,CategoryList,0)),"")</f>
        <v/>
      </c>
      <c r="E136" s="110" t="n"/>
      <c r="F136" s="75" t="n"/>
      <c r="G136" s="75" t="n"/>
    </row>
    <row r="137" ht="15.75" customHeight="1" s="52">
      <c r="A137" s="114" t="n"/>
      <c r="B137" s="76" t="n"/>
      <c r="C137" s="76" t="n"/>
      <c r="D137" s="109">
        <f t="array" ref="D137:D137">IFERROR(INDEX(GroupLookup,MATCH(C137,CategoryList,0)),"")</f>
        <v/>
      </c>
      <c r="E137" s="112" t="n"/>
      <c r="F137" s="76" t="n"/>
      <c r="G137" s="76" t="n"/>
    </row>
    <row r="138" ht="15.75" customHeight="1" s="52">
      <c r="A138" s="108" t="n"/>
      <c r="B138" s="75" t="n"/>
      <c r="C138" s="75" t="n"/>
      <c r="D138" s="109">
        <f t="array" ref="D138:D138">IFERROR(INDEX(GroupLookup,MATCH(C138,CategoryList,0)),"")</f>
        <v/>
      </c>
      <c r="E138" s="110" t="n"/>
      <c r="F138" s="75" t="n"/>
      <c r="G138" s="75" t="n"/>
    </row>
    <row r="139" ht="15.75" customHeight="1" s="52">
      <c r="A139" s="114" t="n"/>
      <c r="B139" s="76" t="n"/>
      <c r="C139" s="76" t="n"/>
      <c r="D139" s="109">
        <f t="array" ref="D139:D139">IFERROR(INDEX(GroupLookup,MATCH(C139,CategoryList,0)),"")</f>
        <v/>
      </c>
      <c r="E139" s="112" t="n"/>
      <c r="F139" s="76" t="n"/>
      <c r="G139" s="76" t="n"/>
    </row>
    <row r="140" ht="15.75" customHeight="1" s="52">
      <c r="A140" s="108" t="n"/>
      <c r="B140" s="75" t="n"/>
      <c r="C140" s="75" t="n"/>
      <c r="D140" s="109">
        <f t="array" ref="D140:D140">IFERROR(INDEX(GroupLookup,MATCH(C140,CategoryList,0)),"")</f>
        <v/>
      </c>
      <c r="E140" s="110" t="n"/>
      <c r="F140" s="75" t="n"/>
      <c r="G140" s="75" t="n"/>
    </row>
    <row r="141" ht="15.75" customHeight="1" s="52">
      <c r="A141" s="114" t="n"/>
      <c r="B141" s="76" t="n"/>
      <c r="C141" s="76" t="n"/>
      <c r="D141" s="109">
        <f t="array" ref="D141:D141">IFERROR(INDEX(GroupLookup,MATCH(C141,CategoryList,0)),"")</f>
        <v/>
      </c>
      <c r="E141" s="112" t="n"/>
      <c r="F141" s="76" t="n"/>
      <c r="G141" s="76" t="n"/>
    </row>
    <row r="142" ht="15.75" customHeight="1" s="52">
      <c r="A142" s="108" t="n"/>
      <c r="B142" s="75" t="n"/>
      <c r="C142" s="75" t="n"/>
      <c r="D142" s="109">
        <f t="array" ref="D142:D142">IFERROR(INDEX(GroupLookup,MATCH(C142,CategoryList,0)),"")</f>
        <v/>
      </c>
      <c r="E142" s="110" t="n"/>
      <c r="F142" s="75" t="n"/>
      <c r="G142" s="75" t="n"/>
    </row>
    <row r="143" ht="15.75" customHeight="1" s="52">
      <c r="A143" s="114" t="n"/>
      <c r="B143" s="76" t="n"/>
      <c r="C143" s="76" t="n"/>
      <c r="D143" s="109">
        <f t="array" ref="D143:D143">IFERROR(INDEX(GroupLookup,MATCH(C143,CategoryList,0)),"")</f>
        <v/>
      </c>
      <c r="E143" s="112" t="n"/>
      <c r="F143" s="76" t="n"/>
      <c r="G143" s="76" t="n"/>
    </row>
    <row r="144" ht="15.75" customHeight="1" s="52">
      <c r="A144" s="108" t="n"/>
      <c r="B144" s="75" t="n"/>
      <c r="C144" s="75" t="n"/>
      <c r="D144" s="109">
        <f t="array" ref="D144:D144">IFERROR(INDEX(GroupLookup,MATCH(C144,CategoryList,0)),"")</f>
        <v/>
      </c>
      <c r="E144" s="110" t="n"/>
      <c r="F144" s="75" t="n"/>
      <c r="G144" s="75" t="n"/>
    </row>
    <row r="145" ht="15.75" customHeight="1" s="52">
      <c r="A145" s="114" t="n"/>
      <c r="B145" s="76" t="n"/>
      <c r="C145" s="76" t="n"/>
      <c r="D145" s="109">
        <f t="array" ref="D145:D145">IFERROR(INDEX(GroupLookup,MATCH(C145,CategoryList,0)),"")</f>
        <v/>
      </c>
      <c r="E145" s="112" t="n"/>
      <c r="F145" s="76" t="n"/>
      <c r="G145" s="76" t="n"/>
    </row>
    <row r="146" ht="15.75" customHeight="1" s="52">
      <c r="A146" s="108" t="n"/>
      <c r="B146" s="75" t="n"/>
      <c r="C146" s="75" t="n"/>
      <c r="D146" s="109">
        <f t="array" ref="D146:D146">IFERROR(INDEX(GroupLookup,MATCH(C146,CategoryList,0)),"")</f>
        <v/>
      </c>
      <c r="E146" s="110" t="n"/>
      <c r="F146" s="75" t="n"/>
      <c r="G146" s="75" t="n"/>
    </row>
    <row r="147" ht="15.75" customHeight="1" s="52">
      <c r="A147" s="114" t="n"/>
      <c r="B147" s="76" t="n"/>
      <c r="C147" s="76" t="n"/>
      <c r="D147" s="109">
        <f t="array" ref="D147:D147">IFERROR(INDEX(GroupLookup,MATCH(C147,CategoryList,0)),"")</f>
        <v/>
      </c>
      <c r="E147" s="112" t="n"/>
      <c r="F147" s="76" t="n"/>
      <c r="G147" s="76" t="n"/>
    </row>
    <row r="148" ht="15.75" customHeight="1" s="52">
      <c r="A148" s="108" t="n"/>
      <c r="B148" s="75" t="n"/>
      <c r="C148" s="75" t="n"/>
      <c r="D148" s="109">
        <f t="array" ref="D148:D148">IFERROR(INDEX(GroupLookup,MATCH(C148,CategoryList,0)),"")</f>
        <v/>
      </c>
      <c r="E148" s="110" t="n"/>
      <c r="F148" s="75" t="n"/>
      <c r="G148" s="75" t="n"/>
    </row>
    <row r="149" ht="15.75" customHeight="1" s="52">
      <c r="A149" s="114" t="n"/>
      <c r="B149" s="76" t="n"/>
      <c r="C149" s="76" t="n"/>
      <c r="D149" s="109">
        <f t="array" ref="D149:D149">IFERROR(INDEX(GroupLookup,MATCH(C149,CategoryList,0)),"")</f>
        <v/>
      </c>
      <c r="E149" s="112" t="n"/>
      <c r="F149" s="76" t="n"/>
      <c r="G149" s="76" t="n"/>
    </row>
    <row r="150" ht="15.75" customHeight="1" s="52">
      <c r="A150" s="108" t="n"/>
      <c r="B150" s="75" t="n"/>
      <c r="C150" s="75" t="n"/>
      <c r="D150" s="109">
        <f t="array" ref="D150:D150">IFERROR(INDEX(GroupLookup,MATCH(C150,CategoryList,0)),"")</f>
        <v/>
      </c>
      <c r="E150" s="110" t="n"/>
      <c r="F150" s="75" t="n"/>
      <c r="G150" s="75" t="n"/>
    </row>
    <row r="151" ht="15.75" customHeight="1" s="52">
      <c r="A151" s="114" t="n"/>
      <c r="B151" s="76" t="n"/>
      <c r="C151" s="76" t="n"/>
      <c r="D151" s="109">
        <f t="array" ref="D151:D151">IFERROR(INDEX(GroupLookup,MATCH(C151,CategoryList,0)),"")</f>
        <v/>
      </c>
      <c r="E151" s="112" t="n"/>
      <c r="F151" s="76" t="n"/>
      <c r="G151" s="76" t="n"/>
    </row>
    <row r="152" ht="15.75" customHeight="1" s="52">
      <c r="A152" s="108" t="n"/>
      <c r="B152" s="75" t="n"/>
      <c r="C152" s="75" t="n"/>
      <c r="D152" s="109">
        <f t="array" ref="D152:D152">IFERROR(INDEX(GroupLookup,MATCH(C152,CategoryList,0)),"")</f>
        <v/>
      </c>
      <c r="E152" s="110" t="n"/>
      <c r="F152" s="75" t="n"/>
      <c r="G152" s="75" t="n"/>
    </row>
    <row r="153" ht="15.75" customHeight="1" s="52">
      <c r="A153" s="114" t="n"/>
      <c r="B153" s="76" t="n"/>
      <c r="C153" s="76" t="n"/>
      <c r="D153" s="109">
        <f t="array" ref="D153:D153">IFERROR(INDEX(GroupLookup,MATCH(C153,CategoryList,0)),"")</f>
        <v/>
      </c>
      <c r="E153" s="112" t="n"/>
      <c r="F153" s="76" t="n"/>
      <c r="G153" s="76" t="n"/>
    </row>
    <row r="154" ht="15.75" customHeight="1" s="52">
      <c r="A154" s="108" t="n"/>
      <c r="B154" s="75" t="n"/>
      <c r="C154" s="75" t="n"/>
      <c r="D154" s="109">
        <f t="array" ref="D154:D154">IFERROR(INDEX(GroupLookup,MATCH(C154,CategoryList,0)),"")</f>
        <v/>
      </c>
      <c r="E154" s="110" t="n"/>
      <c r="F154" s="75" t="n"/>
      <c r="G154" s="75" t="n"/>
    </row>
    <row r="155" ht="15.75" customHeight="1" s="52">
      <c r="A155" s="114" t="n"/>
      <c r="B155" s="76" t="n"/>
      <c r="C155" s="76" t="n"/>
      <c r="D155" s="109">
        <f t="array" ref="D155:D155">IFERROR(INDEX(GroupLookup,MATCH(C155,CategoryList,0)),"")</f>
        <v/>
      </c>
      <c r="E155" s="112" t="n"/>
      <c r="F155" s="76" t="n"/>
      <c r="G155" s="76" t="n"/>
    </row>
    <row r="156" ht="15.75" customHeight="1" s="52">
      <c r="A156" s="108" t="n"/>
      <c r="B156" s="75" t="n"/>
      <c r="C156" s="75" t="n"/>
      <c r="D156" s="109">
        <f t="array" ref="D156:D156">IFERROR(INDEX(GroupLookup,MATCH(C156,CategoryList,0)),"")</f>
        <v/>
      </c>
      <c r="E156" s="110" t="n"/>
      <c r="F156" s="75" t="n"/>
      <c r="G156" s="75" t="n"/>
    </row>
    <row r="157" ht="15.75" customHeight="1" s="52">
      <c r="A157" s="114" t="n"/>
      <c r="B157" s="76" t="n"/>
      <c r="C157" s="76" t="n"/>
      <c r="D157" s="109">
        <f t="array" ref="D157:D157">IFERROR(INDEX(GroupLookup,MATCH(C157,CategoryList,0)),"")</f>
        <v/>
      </c>
      <c r="E157" s="112" t="n"/>
      <c r="F157" s="76" t="n"/>
      <c r="G157" s="76" t="n"/>
    </row>
    <row r="158" ht="15.75" customHeight="1" s="52">
      <c r="A158" s="108" t="n"/>
      <c r="B158" s="75" t="n"/>
      <c r="C158" s="75" t="n"/>
      <c r="D158" s="109">
        <f t="array" ref="D158:D158">IFERROR(INDEX(GroupLookup,MATCH(C158,CategoryList,0)),"")</f>
        <v/>
      </c>
      <c r="E158" s="110" t="n"/>
      <c r="F158" s="75" t="n"/>
      <c r="G158" s="75" t="n"/>
    </row>
    <row r="159" ht="15.75" customHeight="1" s="52">
      <c r="A159" s="114" t="n"/>
      <c r="B159" s="76" t="n"/>
      <c r="C159" s="76" t="n"/>
      <c r="D159" s="109">
        <f t="array" ref="D159:D159">IFERROR(INDEX(GroupLookup,MATCH(C159,CategoryList,0)),"")</f>
        <v/>
      </c>
      <c r="E159" s="112" t="n"/>
      <c r="F159" s="76" t="n"/>
      <c r="G159" s="76" t="n"/>
    </row>
    <row r="160" ht="15.75" customHeight="1" s="52">
      <c r="A160" s="108" t="n"/>
      <c r="B160" s="75" t="n"/>
      <c r="C160" s="75" t="n"/>
      <c r="D160" s="109">
        <f t="array" ref="D160:D160">IFERROR(INDEX(GroupLookup,MATCH(C160,CategoryList,0)),"")</f>
        <v/>
      </c>
      <c r="E160" s="110" t="n"/>
      <c r="F160" s="75" t="n"/>
      <c r="G160" s="75" t="n"/>
    </row>
    <row r="161" ht="15.75" customHeight="1" s="52">
      <c r="A161" s="114" t="n"/>
      <c r="B161" s="76" t="n"/>
      <c r="C161" s="76" t="n"/>
      <c r="D161" s="109">
        <f t="array" ref="D161:D161">IFERROR(INDEX(GroupLookup,MATCH(C161,CategoryList,0)),"")</f>
        <v/>
      </c>
      <c r="E161" s="112" t="n"/>
      <c r="F161" s="76" t="n"/>
      <c r="G161" s="76" t="n"/>
    </row>
    <row r="162" ht="15.75" customHeight="1" s="52">
      <c r="A162" s="108" t="n"/>
      <c r="B162" s="75" t="n"/>
      <c r="C162" s="75" t="n"/>
      <c r="D162" s="109">
        <f t="array" ref="D162:D162">IFERROR(INDEX(GroupLookup,MATCH(C162,CategoryList,0)),"")</f>
        <v/>
      </c>
      <c r="E162" s="110" t="n"/>
      <c r="F162" s="75" t="n"/>
      <c r="G162" s="75" t="n"/>
    </row>
    <row r="163" ht="15.75" customHeight="1" s="52">
      <c r="A163" s="114" t="n"/>
      <c r="B163" s="76" t="n"/>
      <c r="C163" s="76" t="n"/>
      <c r="D163" s="109">
        <f t="array" ref="D163:D163">IFERROR(INDEX(GroupLookup,MATCH(C163,CategoryList,0)),"")</f>
        <v/>
      </c>
      <c r="E163" s="112" t="n"/>
      <c r="F163" s="76" t="n"/>
      <c r="G163" s="76" t="n"/>
    </row>
    <row r="164" ht="15.75" customHeight="1" s="52">
      <c r="A164" s="108" t="n"/>
      <c r="B164" s="75" t="n"/>
      <c r="C164" s="75" t="n"/>
      <c r="D164" s="109">
        <f t="array" ref="D164:D164">IFERROR(INDEX(GroupLookup,MATCH(C164,CategoryList,0)),"")</f>
        <v/>
      </c>
      <c r="E164" s="110" t="n"/>
      <c r="F164" s="75" t="n"/>
      <c r="G164" s="75" t="n"/>
    </row>
    <row r="165" ht="15.75" customHeight="1" s="52">
      <c r="A165" s="114" t="n"/>
      <c r="B165" s="76" t="n"/>
      <c r="C165" s="76" t="n"/>
      <c r="D165" s="109">
        <f t="array" ref="D165:D165">IFERROR(INDEX(GroupLookup,MATCH(C165,CategoryList,0)),"")</f>
        <v/>
      </c>
      <c r="E165" s="112" t="n"/>
      <c r="F165" s="76" t="n"/>
      <c r="G165" s="76" t="n"/>
    </row>
    <row r="166" ht="15.75" customHeight="1" s="52">
      <c r="A166" s="108" t="n"/>
      <c r="B166" s="75" t="n"/>
      <c r="C166" s="75" t="n"/>
      <c r="D166" s="109">
        <f t="array" ref="D166:D166">IFERROR(INDEX(GroupLookup,MATCH(C166,CategoryList,0)),"")</f>
        <v/>
      </c>
      <c r="E166" s="110" t="n"/>
      <c r="F166" s="75" t="n"/>
      <c r="G166" s="75" t="n"/>
    </row>
    <row r="167" ht="15.75" customHeight="1" s="52">
      <c r="A167" s="114" t="n"/>
      <c r="B167" s="76" t="n"/>
      <c r="C167" s="76" t="n"/>
      <c r="D167" s="109">
        <f t="array" ref="D167:D167">IFERROR(INDEX(GroupLookup,MATCH(C167,CategoryList,0)),"")</f>
        <v/>
      </c>
      <c r="E167" s="112" t="n"/>
      <c r="F167" s="76" t="n"/>
      <c r="G167" s="76" t="n"/>
    </row>
    <row r="168" ht="15.75" customHeight="1" s="52">
      <c r="A168" s="108" t="n"/>
      <c r="B168" s="75" t="n"/>
      <c r="C168" s="75" t="n"/>
      <c r="D168" s="109">
        <f t="array" ref="D168:D168">IFERROR(INDEX(GroupLookup,MATCH(C168,CategoryList,0)),"")</f>
        <v/>
      </c>
      <c r="E168" s="110" t="n"/>
      <c r="F168" s="75" t="n"/>
      <c r="G168" s="75" t="n"/>
    </row>
    <row r="169" ht="15.75" customHeight="1" s="52">
      <c r="A169" s="114" t="n"/>
      <c r="B169" s="76" t="n"/>
      <c r="C169" s="76" t="n"/>
      <c r="D169" s="109">
        <f t="array" ref="D169:D169">IFERROR(INDEX(GroupLookup,MATCH(C169,CategoryList,0)),"")</f>
        <v/>
      </c>
      <c r="E169" s="112" t="n"/>
      <c r="F169" s="76" t="n"/>
      <c r="G169" s="76" t="n"/>
    </row>
    <row r="170" ht="15.75" customHeight="1" s="52">
      <c r="A170" s="108" t="n"/>
      <c r="B170" s="75" t="n"/>
      <c r="C170" s="75" t="n"/>
      <c r="D170" s="109">
        <f t="array" ref="D170:D170">IFERROR(INDEX(GroupLookup,MATCH(C170,CategoryList,0)),"")</f>
        <v/>
      </c>
      <c r="E170" s="110" t="n"/>
      <c r="F170" s="75" t="n"/>
      <c r="G170" s="75" t="n"/>
    </row>
    <row r="171" ht="15.75" customHeight="1" s="52">
      <c r="A171" s="114" t="n"/>
      <c r="B171" s="76" t="n"/>
      <c r="C171" s="76" t="n"/>
      <c r="D171" s="109">
        <f t="array" ref="D171:D171">IFERROR(INDEX(GroupLookup,MATCH(C171,CategoryList,0)),"")</f>
        <v/>
      </c>
      <c r="E171" s="112" t="n"/>
      <c r="F171" s="76" t="n"/>
      <c r="G171" s="76" t="n"/>
    </row>
    <row r="172" ht="15.75" customHeight="1" s="52">
      <c r="A172" s="108" t="n"/>
      <c r="B172" s="75" t="n"/>
      <c r="C172" s="75" t="n"/>
      <c r="D172" s="109">
        <f t="array" ref="D172:D172">IFERROR(INDEX(GroupLookup,MATCH(C172,CategoryList,0)),"")</f>
        <v/>
      </c>
      <c r="E172" s="110" t="n"/>
      <c r="F172" s="75" t="n"/>
      <c r="G172" s="75" t="n"/>
    </row>
    <row r="173" ht="15.75" customHeight="1" s="52">
      <c r="A173" s="114" t="n"/>
      <c r="B173" s="76" t="n"/>
      <c r="C173" s="76" t="n"/>
      <c r="D173" s="109">
        <f t="array" ref="D173:D173">IFERROR(INDEX(GroupLookup,MATCH(C173,CategoryList,0)),"")</f>
        <v/>
      </c>
      <c r="E173" s="112" t="n"/>
      <c r="F173" s="76" t="n"/>
      <c r="G173" s="76" t="n"/>
    </row>
    <row r="174" ht="15.75" customHeight="1" s="52">
      <c r="A174" s="108" t="n"/>
      <c r="B174" s="75" t="n"/>
      <c r="C174" s="75" t="n"/>
      <c r="D174" s="109">
        <f t="array" ref="D174:D174">IFERROR(INDEX(GroupLookup,MATCH(C174,CategoryList,0)),"")</f>
        <v/>
      </c>
      <c r="E174" s="110" t="n"/>
      <c r="F174" s="75" t="n"/>
      <c r="G174" s="75" t="n"/>
    </row>
    <row r="175" ht="15.75" customHeight="1" s="52">
      <c r="A175" s="114" t="n"/>
      <c r="B175" s="76" t="n"/>
      <c r="C175" s="76" t="n"/>
      <c r="D175" s="109">
        <f t="array" ref="D175:D175">IFERROR(INDEX(GroupLookup,MATCH(C175,CategoryList,0)),"")</f>
        <v/>
      </c>
      <c r="E175" s="112" t="n"/>
      <c r="F175" s="76" t="n"/>
      <c r="G175" s="76" t="n"/>
    </row>
    <row r="176" ht="15.75" customHeight="1" s="52">
      <c r="A176" s="108" t="n"/>
      <c r="B176" s="75" t="n"/>
      <c r="C176" s="75" t="n"/>
      <c r="D176" s="109">
        <f t="array" ref="D176:D176">IFERROR(INDEX(GroupLookup,MATCH(C176,CategoryList,0)),"")</f>
        <v/>
      </c>
      <c r="E176" s="110" t="n"/>
      <c r="F176" s="75" t="n"/>
      <c r="G176" s="75" t="n"/>
    </row>
    <row r="177" ht="15.75" customHeight="1" s="52">
      <c r="A177" s="114" t="n"/>
      <c r="B177" s="76" t="n"/>
      <c r="C177" s="76" t="n"/>
      <c r="D177" s="109">
        <f t="array" ref="D177:D177">IFERROR(INDEX(GroupLookup,MATCH(C177,CategoryList,0)),"")</f>
        <v/>
      </c>
      <c r="E177" s="112" t="n"/>
      <c r="F177" s="76" t="n"/>
      <c r="G177" s="76" t="n"/>
    </row>
    <row r="178" ht="15.75" customHeight="1" s="52">
      <c r="A178" s="108" t="n"/>
      <c r="B178" s="75" t="n"/>
      <c r="C178" s="75" t="n"/>
      <c r="D178" s="109">
        <f t="array" ref="D178:D178">IFERROR(INDEX(GroupLookup,MATCH(C178,CategoryList,0)),"")</f>
        <v/>
      </c>
      <c r="E178" s="110" t="n"/>
      <c r="F178" s="75" t="n"/>
      <c r="G178" s="75" t="n"/>
    </row>
    <row r="179" ht="15.75" customHeight="1" s="52">
      <c r="A179" s="114" t="n"/>
      <c r="B179" s="76" t="n"/>
      <c r="C179" s="76" t="n"/>
      <c r="D179" s="109">
        <f t="array" ref="D179:D179">IFERROR(INDEX(GroupLookup,MATCH(C179,CategoryList,0)),"")</f>
        <v/>
      </c>
      <c r="E179" s="112" t="n"/>
      <c r="F179" s="76" t="n"/>
      <c r="G179" s="76" t="n"/>
    </row>
    <row r="180" ht="15.75" customHeight="1" s="52">
      <c r="A180" s="108" t="n"/>
      <c r="B180" s="75" t="n"/>
      <c r="C180" s="75" t="n"/>
      <c r="D180" s="109">
        <f t="array" ref="D180:D180">IFERROR(INDEX(GroupLookup,MATCH(C180,CategoryList,0)),"")</f>
        <v/>
      </c>
      <c r="E180" s="110" t="n"/>
      <c r="F180" s="75" t="n"/>
      <c r="G180" s="75" t="n"/>
    </row>
    <row r="181" ht="15.75" customHeight="1" s="52">
      <c r="A181" s="114" t="n"/>
      <c r="B181" s="76" t="n"/>
      <c r="C181" s="76" t="n"/>
      <c r="D181" s="109">
        <f t="array" ref="D181:D181">IFERROR(INDEX(GroupLookup,MATCH(C181,CategoryList,0)),"")</f>
        <v/>
      </c>
      <c r="E181" s="112" t="n"/>
      <c r="F181" s="76" t="n"/>
      <c r="G181" s="76" t="n"/>
    </row>
    <row r="182" ht="15.75" customHeight="1" s="52">
      <c r="A182" s="108" t="n"/>
      <c r="B182" s="75" t="n"/>
      <c r="C182" s="75" t="n"/>
      <c r="D182" s="109">
        <f t="array" ref="D182:D182">IFERROR(INDEX(GroupLookup,MATCH(C182,CategoryList,0)),"")</f>
        <v/>
      </c>
      <c r="E182" s="110" t="n"/>
      <c r="F182" s="75" t="n"/>
      <c r="G182" s="75" t="n"/>
    </row>
    <row r="183" ht="15.75" customHeight="1" s="52">
      <c r="A183" s="114" t="n"/>
      <c r="B183" s="76" t="n"/>
      <c r="C183" s="76" t="n"/>
      <c r="D183" s="109">
        <f t="array" ref="D183:D183">IFERROR(INDEX(GroupLookup,MATCH(C183,CategoryList,0)),"")</f>
        <v/>
      </c>
      <c r="E183" s="112" t="n"/>
      <c r="F183" s="76" t="n"/>
      <c r="G183" s="76" t="n"/>
    </row>
    <row r="184" ht="15.75" customHeight="1" s="52">
      <c r="A184" s="108" t="n"/>
      <c r="B184" s="75" t="n"/>
      <c r="C184" s="75" t="n"/>
      <c r="D184" s="109">
        <f t="array" ref="D184:D184">IFERROR(INDEX(GroupLookup,MATCH(C184,CategoryList,0)),"")</f>
        <v/>
      </c>
      <c r="E184" s="110" t="n"/>
      <c r="F184" s="75" t="n"/>
      <c r="G184" s="75" t="n"/>
    </row>
    <row r="185" ht="15.75" customHeight="1" s="52">
      <c r="A185" s="114" t="n"/>
      <c r="B185" s="76" t="n"/>
      <c r="C185" s="76" t="n"/>
      <c r="D185" s="109">
        <f t="array" ref="D185:D185">IFERROR(INDEX(GroupLookup,MATCH(C185,CategoryList,0)),"")</f>
        <v/>
      </c>
      <c r="E185" s="112" t="n"/>
      <c r="F185" s="76" t="n"/>
      <c r="G185" s="76" t="n"/>
    </row>
    <row r="186" ht="15.75" customHeight="1" s="52">
      <c r="A186" s="108" t="n"/>
      <c r="B186" s="75" t="n"/>
      <c r="C186" s="75" t="n"/>
      <c r="D186" s="109">
        <f t="array" ref="D186:D186">IFERROR(INDEX(GroupLookup,MATCH(C186,CategoryList,0)),"")</f>
        <v/>
      </c>
      <c r="E186" s="110" t="n"/>
      <c r="F186" s="75" t="n"/>
      <c r="G186" s="75" t="n"/>
    </row>
    <row r="187" ht="15.75" customHeight="1" s="52">
      <c r="A187" s="114" t="n"/>
      <c r="B187" s="76" t="n"/>
      <c r="C187" s="76" t="n"/>
      <c r="D187" s="109">
        <f t="array" ref="D187:D187">IFERROR(INDEX(GroupLookup,MATCH(C187,CategoryList,0)),"")</f>
        <v/>
      </c>
      <c r="E187" s="112" t="n"/>
      <c r="F187" s="76" t="n"/>
      <c r="G187" s="76" t="n"/>
    </row>
    <row r="188" ht="15.75" customHeight="1" s="52">
      <c r="A188" s="108" t="n"/>
      <c r="B188" s="75" t="n"/>
      <c r="C188" s="75" t="n"/>
      <c r="D188" s="109">
        <f t="array" ref="D188:D188">IFERROR(INDEX(GroupLookup,MATCH(C188,CategoryList,0)),"")</f>
        <v/>
      </c>
      <c r="E188" s="110" t="n"/>
      <c r="F188" s="75" t="n"/>
      <c r="G188" s="75" t="n"/>
    </row>
    <row r="189" ht="15.75" customHeight="1" s="52">
      <c r="A189" s="114" t="n"/>
      <c r="B189" s="76" t="n"/>
      <c r="C189" s="76" t="n"/>
      <c r="D189" s="109">
        <f t="array" ref="D189:D189">IFERROR(INDEX(GroupLookup,MATCH(C189,CategoryList,0)),"")</f>
        <v/>
      </c>
      <c r="E189" s="112" t="n"/>
      <c r="F189" s="76" t="n"/>
      <c r="G189" s="76" t="n"/>
    </row>
    <row r="190" ht="15.75" customHeight="1" s="52">
      <c r="A190" s="108" t="n"/>
      <c r="B190" s="75" t="n"/>
      <c r="C190" s="75" t="n"/>
      <c r="D190" s="109">
        <f t="array" ref="D190:D190">IFERROR(INDEX(GroupLookup,MATCH(C190,CategoryList,0)),"")</f>
        <v/>
      </c>
      <c r="E190" s="110" t="n"/>
      <c r="F190" s="75" t="n"/>
      <c r="G190" s="75" t="n"/>
    </row>
    <row r="191" ht="15.75" customHeight="1" s="52">
      <c r="A191" s="114" t="n"/>
      <c r="B191" s="76" t="n"/>
      <c r="C191" s="76" t="n"/>
      <c r="D191" s="109">
        <f t="array" ref="D191:D191">IFERROR(INDEX(GroupLookup,MATCH(C191,CategoryList,0)),"")</f>
        <v/>
      </c>
      <c r="E191" s="112" t="n"/>
      <c r="F191" s="76" t="n"/>
      <c r="G191" s="76" t="n"/>
    </row>
    <row r="192" ht="15.75" customHeight="1" s="52">
      <c r="A192" s="108" t="n"/>
      <c r="B192" s="75" t="n"/>
      <c r="C192" s="75" t="n"/>
      <c r="D192" s="109">
        <f t="array" ref="D192:D192">IFERROR(INDEX(GroupLookup,MATCH(C192,CategoryList,0)),"")</f>
        <v/>
      </c>
      <c r="E192" s="110" t="n"/>
      <c r="F192" s="75" t="n"/>
      <c r="G192" s="75" t="n"/>
    </row>
    <row r="193" ht="15.75" customHeight="1" s="52">
      <c r="A193" s="114" t="n"/>
      <c r="B193" s="76" t="n"/>
      <c r="C193" s="76" t="n"/>
      <c r="D193" s="109">
        <f t="array" ref="D193:D193">IFERROR(INDEX(GroupLookup,MATCH(C193,CategoryList,0)),"")</f>
        <v/>
      </c>
      <c r="E193" s="112" t="n"/>
      <c r="F193" s="76" t="n"/>
      <c r="G193" s="76" t="n"/>
    </row>
    <row r="194" ht="15.75" customHeight="1" s="52">
      <c r="A194" s="108" t="n"/>
      <c r="B194" s="75" t="n"/>
      <c r="C194" s="75" t="n"/>
      <c r="D194" s="109">
        <f t="array" ref="D194:D194">IFERROR(INDEX(GroupLookup,MATCH(C194,CategoryList,0)),"")</f>
        <v/>
      </c>
      <c r="E194" s="110" t="n"/>
      <c r="F194" s="75" t="n"/>
      <c r="G194" s="75" t="n"/>
    </row>
    <row r="195" ht="15.75" customHeight="1" s="52">
      <c r="A195" s="114" t="n"/>
      <c r="B195" s="76" t="n"/>
      <c r="C195" s="76" t="n"/>
      <c r="D195" s="109">
        <f t="array" ref="D195:D195">IFERROR(INDEX(GroupLookup,MATCH(C195,CategoryList,0)),"")</f>
        <v/>
      </c>
      <c r="E195" s="112" t="n"/>
      <c r="F195" s="76" t="n"/>
      <c r="G195" s="76" t="n"/>
    </row>
    <row r="196" ht="15.75" customHeight="1" s="52">
      <c r="A196" s="108" t="n"/>
      <c r="B196" s="75" t="n"/>
      <c r="C196" s="75" t="n"/>
      <c r="D196" s="109">
        <f t="array" ref="D196:D196">IFERROR(INDEX(GroupLookup,MATCH(C196,CategoryList,0)),"")</f>
        <v/>
      </c>
      <c r="E196" s="110" t="n"/>
      <c r="F196" s="75" t="n"/>
      <c r="G196" s="75" t="n"/>
    </row>
    <row r="197" ht="15.75" customHeight="1" s="52">
      <c r="A197" s="114" t="n"/>
      <c r="B197" s="76" t="n"/>
      <c r="C197" s="76" t="n"/>
      <c r="D197" s="109">
        <f t="array" ref="D197:D197">IFERROR(INDEX(GroupLookup,MATCH(C197,CategoryList,0)),"")</f>
        <v/>
      </c>
      <c r="E197" s="112" t="n"/>
      <c r="F197" s="76" t="n"/>
      <c r="G197" s="76" t="n"/>
    </row>
    <row r="198" ht="15.75" customHeight="1" s="52">
      <c r="A198" s="108" t="n"/>
      <c r="B198" s="75" t="n"/>
      <c r="C198" s="75" t="n"/>
      <c r="D198" s="109">
        <f t="array" ref="D198:D198">IFERROR(INDEX(GroupLookup,MATCH(C198,CategoryList,0)),"")</f>
        <v/>
      </c>
      <c r="E198" s="110" t="n"/>
      <c r="F198" s="75" t="n"/>
      <c r="G198" s="75" t="n"/>
    </row>
    <row r="199" ht="15.75" customHeight="1" s="52">
      <c r="A199" s="114" t="n"/>
      <c r="B199" s="76" t="n"/>
      <c r="C199" s="76" t="n"/>
      <c r="D199" s="109">
        <f t="array" ref="D199:D199">IFERROR(INDEX(GroupLookup,MATCH(C199,CategoryList,0)),"")</f>
        <v/>
      </c>
      <c r="E199" s="112" t="n"/>
      <c r="F199" s="76" t="n"/>
      <c r="G199" s="76" t="n"/>
    </row>
    <row r="200" ht="15.75" customHeight="1" s="52">
      <c r="A200" s="108" t="n"/>
      <c r="B200" s="75" t="n"/>
      <c r="C200" s="75" t="n"/>
      <c r="D200" s="109">
        <f t="array" ref="D200:D200">IFERROR(INDEX(GroupLookup,MATCH(C200,CategoryList,0)),"")</f>
        <v/>
      </c>
      <c r="E200" s="110" t="n"/>
      <c r="F200" s="75" t="n"/>
      <c r="G200" s="75" t="n"/>
    </row>
    <row r="201" ht="15.75" customHeight="1" s="52">
      <c r="A201" s="114" t="n"/>
      <c r="B201" s="76" t="n"/>
      <c r="C201" s="76" t="n"/>
      <c r="D201" s="109">
        <f t="array" ref="D201:D201">IFERROR(INDEX(GroupLookup,MATCH(C201,CategoryList,0)),"")</f>
        <v/>
      </c>
      <c r="E201" s="112" t="n"/>
      <c r="F201" s="76" t="n"/>
      <c r="G201" s="76" t="n"/>
    </row>
    <row r="202" ht="15.75" customHeight="1" s="52">
      <c r="A202" s="108" t="n"/>
      <c r="B202" s="75" t="n"/>
      <c r="C202" s="75" t="n"/>
      <c r="D202" s="109">
        <f t="array" ref="D202:D202">IFERROR(INDEX(GroupLookup,MATCH(C202,CategoryList,0)),"")</f>
        <v/>
      </c>
      <c r="E202" s="110" t="n"/>
      <c r="F202" s="75" t="n"/>
      <c r="G202" s="75" t="n"/>
    </row>
    <row r="203" ht="15.75" customHeight="1" s="52">
      <c r="A203" s="114" t="n"/>
      <c r="B203" s="76" t="n"/>
      <c r="C203" s="76" t="n"/>
      <c r="D203" s="109">
        <f t="array" ref="D203:D203">IFERROR(INDEX(GroupLookup,MATCH(C203,CategoryList,0)),"")</f>
        <v/>
      </c>
      <c r="E203" s="112" t="n"/>
      <c r="F203" s="76" t="n"/>
      <c r="G203" s="76" t="n"/>
    </row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autoFilter ref="A3:G203"/>
  <mergeCells count="12">
    <mergeCell ref="A1:G1"/>
    <mergeCell ref="J20:K20"/>
    <mergeCell ref="I2:K2"/>
    <mergeCell ref="I14:K14"/>
    <mergeCell ref="J16:K16"/>
    <mergeCell ref="J15:K15"/>
    <mergeCell ref="I1:K1"/>
    <mergeCell ref="J18:K18"/>
    <mergeCell ref="J19:K19"/>
    <mergeCell ref="A2:G2"/>
    <mergeCell ref="I21:K21"/>
    <mergeCell ref="J17:K17"/>
  </mergeCells>
  <conditionalFormatting sqref="J13">
    <cfRule type="expression" rank="0" priority="2" equalAverage="0" aboveAverage="0" dxfId="0" text="" percent="0" bottom="0">
      <formula>$J$13&lt;&gt;0</formula>
    </cfRule>
  </conditionalFormatting>
  <conditionalFormatting sqref="A4:G203">
    <cfRule type="expression" rank="0" priority="3" equalAverage="0" aboveAverage="0" dxfId="7" text="" percent="0" bottom="0">
      <formula>AND($E4&gt;0,$D4="")</formula>
    </cfRule>
  </conditionalFormatting>
  <dataValidations count="4">
    <dataValidation sqref="E4:E203" showDropDown="0" showInputMessage="0" showErrorMessage="1" allowBlank="1" errorTitle="পরিমাণ ঋণাত্মক হতে পারে না" error="শুধু শূন্য বা তার বেশি সংখ্যা লিখুন। টাকার চিহ্ন নিজে থেকে বসবে।" type="decimal" errorStyle="stop" operator="greaterThanOrEqual">
      <formula1>0</formula1>
      <formula2>0</formula2>
    </dataValidation>
    <dataValidation sqref="C4:C203" showDropDown="0" showInputMessage="0" showErrorMessage="1" allowBlank="1" errorTitle="খাত তালিকায় নেই" error="ড্রপ-ডাউন থেকে একটি খাত বেছে নিন। তালিকার বাইরের খাত লিখলে ‘গ্রুপ’ কলাম খালি থাকবে এবং খরচটি গ্রুপভিত্তিক হিসাবে ধরা পড়বে না। নতুন খাত দরকার হলে ‘সেটিংস’ শিটে যোগ করুন।" type="list" errorStyle="stop" operator="between">
      <formula1>CategoryList</formula1>
      <formula2>0</formula2>
    </dataValidation>
    <dataValidation sqref="A4:A203" showDropDown="0" showInputMessage="0" showErrorMessage="1" allowBlank="1" errorTitle="তারিখ এই মাসের বাইরে" error="তারিখটি এই শিটের মাসের মধ্যে পড়ছে না। ভুল হলে ঠিক করুন, নয়তো ‘হ্যাঁ’ চেপে রেখে দিন।" type="date" errorStyle="warning" operator="between">
      <formula1>DATE(2026,5,1)</formula1>
      <formula2>DATE(2026,5,31)</formula2>
    </dataValidation>
    <dataValidation sqref="F4:F203" showDropDown="0" showInputMessage="0" showErrorMessage="1" allowBlank="1" errorTitle="পেমেন্ট মাধ্যম তালিকায় নেই" error="ড্রপ-ডাউন থেকে একটি পেমেন্ট মাধ্যম বেছে নিন।" type="list" errorStyle="stop" operator="between">
      <formula1>PaymentList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2E5C99"/>
    <outlinePr summaryBelow="1" summaryRight="1"/>
    <pageSetUpPr fitToPage="0"/>
  </sheetPr>
  <dimension ref="A1:K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3359375" defaultRowHeight="15" zeroHeight="0" outlineLevelRow="0"/>
  <cols>
    <col width="13" customWidth="1" style="51" min="1" max="1"/>
    <col width="34" customWidth="1" style="51" min="2" max="2"/>
    <col width="26" customWidth="1" style="51" min="3" max="3"/>
    <col width="24" customWidth="1" style="51" min="4" max="4"/>
    <col width="15" customWidth="1" style="51" min="5" max="5"/>
    <col width="20" customWidth="1" style="51" min="6" max="6"/>
    <col width="26" customWidth="1" style="51" min="7" max="7"/>
    <col width="3" customWidth="1" style="51" min="8" max="8"/>
    <col width="30" customWidth="1" style="51" min="9" max="9"/>
    <col width="17" customWidth="1" style="51" min="10" max="10"/>
    <col width="12" customWidth="1" style="51" min="11" max="11"/>
    <col width="8.710000000000001" customWidth="1" style="51" min="12" max="26"/>
  </cols>
  <sheetData>
    <row r="1" ht="25.5" customHeight="1" s="52">
      <c r="A1" s="104" t="inlineStr">
        <is>
          <t>দৈনিক খরচের হিসাব  —  জুন ২০২৬</t>
        </is>
      </c>
      <c r="I1" s="105" t="inlineStr">
        <is>
          <t>মাসিক সারসংক্ষেপ</t>
        </is>
      </c>
    </row>
    <row r="2" ht="15.75" customHeight="1" s="52">
      <c r="A2" s="59" t="inlineStr">
        <is>
          <t>শুধু  তারিখ · বিবরণ · খাত · পরিমাণ · পেমেন্ট মাধ্যম · মন্তব্য  ঘরগুলো পূরণ করুন। ‘গ্রুপ’ কলাম স্বয়ংক্রিয়ভাবে পূরণ হবে।</t>
        </is>
      </c>
      <c r="I2" s="106" t="n"/>
    </row>
    <row r="3" ht="21.75" customHeight="1" s="52">
      <c r="A3" s="107" t="inlineStr">
        <is>
          <t>তারিখ</t>
        </is>
      </c>
      <c r="B3" s="107" t="inlineStr">
        <is>
          <t>বিবরণ</t>
        </is>
      </c>
      <c r="C3" s="107" t="inlineStr">
        <is>
          <t>খাত</t>
        </is>
      </c>
      <c r="D3" s="107" t="inlineStr">
        <is>
          <t>গ্রুপ</t>
        </is>
      </c>
      <c r="E3" s="107" t="inlineStr">
        <is>
          <t>পরিমাণ (৳)</t>
        </is>
      </c>
      <c r="F3" s="107" t="inlineStr">
        <is>
          <t>পেমেন্ট মাধ্যম</t>
        </is>
      </c>
      <c r="G3" s="107" t="inlineStr">
        <is>
          <t>মন্তব্য</t>
        </is>
      </c>
      <c r="I3" s="100" t="inlineStr">
        <is>
          <t>গ্রুপ (প্রধান খাত)</t>
        </is>
      </c>
      <c r="J3" s="100" t="inlineStr">
        <is>
          <t>মোট (৳)</t>
        </is>
      </c>
      <c r="K3" s="100" t="inlineStr">
        <is>
          <t>শতাংশ</t>
        </is>
      </c>
    </row>
    <row r="4" ht="15" customHeight="1" s="52">
      <c r="A4" s="108" t="n"/>
      <c r="B4" s="75" t="n"/>
      <c r="C4" s="75" t="n"/>
      <c r="D4" s="109">
        <f t="array" ref="D4:D4">IFERROR(INDEX(GroupLookup,MATCH(C4,CategoryList,0)),"")</f>
        <v/>
      </c>
      <c r="E4" s="110" t="n"/>
      <c r="F4" s="75" t="n"/>
      <c r="G4" s="75" t="n"/>
      <c r="I4" s="75" t="inlineStr">
        <is>
          <t>খাদ্য ও মুদি</t>
        </is>
      </c>
      <c r="J4" s="110">
        <f>SUMIF($D$4:$D$203,$I4,$E$4:$E$203)</f>
        <v/>
      </c>
      <c r="K4" s="111">
        <f>IFERROR($J4/$J$12,0)</f>
        <v/>
      </c>
    </row>
    <row r="5" ht="15" customHeight="1" s="52">
      <c r="A5" s="114" t="n"/>
      <c r="B5" s="76" t="n"/>
      <c r="C5" s="76" t="n"/>
      <c r="D5" s="109">
        <f t="array" ref="D5:D5">IFERROR(INDEX(GroupLookup,MATCH(C5,CategoryList,0)),"")</f>
        <v/>
      </c>
      <c r="E5" s="112" t="n"/>
      <c r="F5" s="76" t="n"/>
      <c r="G5" s="76" t="n"/>
      <c r="I5" s="76" t="inlineStr">
        <is>
          <t>বাসস্থান</t>
        </is>
      </c>
      <c r="J5" s="112">
        <f>SUMIF($D$4:$D$203,$I5,$E$4:$E$203)</f>
        <v/>
      </c>
      <c r="K5" s="113">
        <f>IFERROR($J5/$J$12,0)</f>
        <v/>
      </c>
    </row>
    <row r="6" ht="15" customHeight="1" s="52">
      <c r="A6" s="108" t="n"/>
      <c r="B6" s="75" t="n"/>
      <c r="C6" s="75" t="n"/>
      <c r="D6" s="109">
        <f t="array" ref="D6:D6">IFERROR(INDEX(GroupLookup,MATCH(C6,CategoryList,0)),"")</f>
        <v/>
      </c>
      <c r="E6" s="110" t="n"/>
      <c r="F6" s="75" t="n"/>
      <c r="G6" s="75" t="n"/>
      <c r="I6" s="75" t="inlineStr">
        <is>
          <t>ইউটিলিটি বিল</t>
        </is>
      </c>
      <c r="J6" s="110">
        <f>SUMIF($D$4:$D$203,$I6,$E$4:$E$203)</f>
        <v/>
      </c>
      <c r="K6" s="111">
        <f>IFERROR($J6/$J$12,0)</f>
        <v/>
      </c>
    </row>
    <row r="7" ht="15" customHeight="1" s="52">
      <c r="A7" s="114" t="n"/>
      <c r="B7" s="76" t="n"/>
      <c r="C7" s="76" t="n"/>
      <c r="D7" s="109">
        <f t="array" ref="D7:D7">IFERROR(INDEX(GroupLookup,MATCH(C7,CategoryList,0)),"")</f>
        <v/>
      </c>
      <c r="E7" s="112" t="n"/>
      <c r="F7" s="76" t="n"/>
      <c r="G7" s="76" t="n"/>
      <c r="I7" s="76" t="inlineStr">
        <is>
          <t>যাতায়াত</t>
        </is>
      </c>
      <c r="J7" s="112">
        <f>SUMIF($D$4:$D$203,$I7,$E$4:$E$203)</f>
        <v/>
      </c>
      <c r="K7" s="113">
        <f>IFERROR($J7/$J$12,0)</f>
        <v/>
      </c>
    </row>
    <row r="8" ht="15" customHeight="1" s="52">
      <c r="A8" s="108" t="n"/>
      <c r="B8" s="75" t="n"/>
      <c r="C8" s="75" t="n"/>
      <c r="D8" s="109">
        <f t="array" ref="D8:D8">IFERROR(INDEX(GroupLookup,MATCH(C8,CategoryList,0)),"")</f>
        <v/>
      </c>
      <c r="E8" s="110" t="n"/>
      <c r="F8" s="75" t="n"/>
      <c r="G8" s="75" t="n"/>
      <c r="I8" s="75" t="inlineStr">
        <is>
          <t>স্বাস্থ্য</t>
        </is>
      </c>
      <c r="J8" s="110">
        <f>SUMIF($D$4:$D$203,$I8,$E$4:$E$203)</f>
        <v/>
      </c>
      <c r="K8" s="111">
        <f>IFERROR($J8/$J$12,0)</f>
        <v/>
      </c>
    </row>
    <row r="9" ht="15" customHeight="1" s="52">
      <c r="A9" s="114" t="n"/>
      <c r="B9" s="76" t="n"/>
      <c r="C9" s="76" t="n"/>
      <c r="D9" s="109">
        <f t="array" ref="D9:D9">IFERROR(INDEX(GroupLookup,MATCH(C9,CategoryList,0)),"")</f>
        <v/>
      </c>
      <c r="E9" s="112" t="n"/>
      <c r="F9" s="76" t="n"/>
      <c r="G9" s="76" t="n"/>
      <c r="I9" s="76" t="inlineStr">
        <is>
          <t>শিক্ষা</t>
        </is>
      </c>
      <c r="J9" s="112">
        <f>SUMIF($D$4:$D$203,$I9,$E$4:$E$203)</f>
        <v/>
      </c>
      <c r="K9" s="113">
        <f>IFERROR($J9/$J$12,0)</f>
        <v/>
      </c>
    </row>
    <row r="10" ht="15" customHeight="1" s="52">
      <c r="A10" s="108" t="n"/>
      <c r="B10" s="75" t="n"/>
      <c r="C10" s="75" t="n"/>
      <c r="D10" s="109">
        <f t="array" ref="D10:D10">IFERROR(INDEX(GroupLookup,MATCH(C10,CategoryList,0)),"")</f>
        <v/>
      </c>
      <c r="E10" s="110" t="n"/>
      <c r="F10" s="75" t="n"/>
      <c r="G10" s="75" t="n"/>
      <c r="I10" s="75" t="inlineStr">
        <is>
          <t>ব্যক্তিগত ও গৃহস্থালি</t>
        </is>
      </c>
      <c r="J10" s="110">
        <f>SUMIF($D$4:$D$203,$I10,$E$4:$E$203)</f>
        <v/>
      </c>
      <c r="K10" s="111">
        <f>IFERROR($J10/$J$12,0)</f>
        <v/>
      </c>
    </row>
    <row r="11" ht="15" customHeight="1" s="52">
      <c r="A11" s="114" t="n"/>
      <c r="B11" s="76" t="n"/>
      <c r="C11" s="76" t="n"/>
      <c r="D11" s="109">
        <f t="array" ref="D11:D11">IFERROR(INDEX(GroupLookup,MATCH(C11,CategoryList,0)),"")</f>
        <v/>
      </c>
      <c r="E11" s="112" t="n"/>
      <c r="F11" s="76" t="n"/>
      <c r="G11" s="76" t="n"/>
      <c r="I11" s="76" t="inlineStr">
        <is>
          <t>অন্যান্য</t>
        </is>
      </c>
      <c r="J11" s="112">
        <f>SUMIF($D$4:$D$203,$I11,$E$4:$E$203)</f>
        <v/>
      </c>
      <c r="K11" s="113">
        <f>IFERROR($J11/$J$12,0)</f>
        <v/>
      </c>
    </row>
    <row r="12" ht="15" customHeight="1" s="52">
      <c r="A12" s="108" t="n"/>
      <c r="B12" s="75" t="n"/>
      <c r="C12" s="75" t="n"/>
      <c r="D12" s="109">
        <f t="array" ref="D12:D12">IFERROR(INDEX(GroupLookup,MATCH(C12,CategoryList,0)),"")</f>
        <v/>
      </c>
      <c r="E12" s="110" t="n"/>
      <c r="F12" s="75" t="n"/>
      <c r="G12" s="75" t="n"/>
      <c r="I12" s="72" t="inlineStr">
        <is>
          <t>মোট মাসিক ব্যয়</t>
        </is>
      </c>
      <c r="J12" s="117">
        <f>SUM($E$4:$E$203)</f>
        <v/>
      </c>
      <c r="K12" s="118">
        <f>IFERROR($J$12/$J$12,0)</f>
        <v/>
      </c>
    </row>
    <row r="13" ht="15" customHeight="1" s="52">
      <c r="A13" s="114" t="n"/>
      <c r="B13" s="76" t="n"/>
      <c r="C13" s="76" t="n"/>
      <c r="D13" s="109">
        <f t="array" ref="D13:D13">IFERROR(INDEX(GroupLookup,MATCH(C13,CategoryList,0)),"")</f>
        <v/>
      </c>
      <c r="E13" s="112" t="n"/>
      <c r="F13" s="76" t="n"/>
      <c r="G13" s="76" t="n"/>
      <c r="I13" s="74" t="inlineStr">
        <is>
          <t>শ্রেণিবিন্যাসহীন (খাত তালিকায় নেই)</t>
        </is>
      </c>
      <c r="J13" s="117">
        <f>$J$12-SUM($J$4:$J$11)</f>
        <v/>
      </c>
      <c r="K13" s="118">
        <f>IFERROR($J13/$J$12,0)</f>
        <v/>
      </c>
    </row>
    <row r="14" ht="25.5" customHeight="1" s="52">
      <c r="A14" s="108" t="n"/>
      <c r="B14" s="75" t="n"/>
      <c r="C14" s="75" t="n"/>
      <c r="D14" s="109">
        <f t="array" ref="D14:D14">IFERROR(INDEX(GroupLookup,MATCH(C14,CategoryList,0)),"")</f>
        <v/>
      </c>
      <c r="E14" s="110" t="n"/>
      <c r="F14" s="75" t="n"/>
      <c r="G14" s="75" t="n"/>
      <c r="I14" s="119" t="inlineStr">
        <is>
          <t>গুরুত্বপূর্ণ তথ্য</t>
        </is>
      </c>
    </row>
    <row r="15" ht="15" customHeight="1" s="52">
      <c r="A15" s="114" t="n"/>
      <c r="B15" s="76" t="n"/>
      <c r="C15" s="76" t="n"/>
      <c r="D15" s="109">
        <f t="array" ref="D15:D15">IFERROR(INDEX(GroupLookup,MATCH(C15,CategoryList,0)),"")</f>
        <v/>
      </c>
      <c r="E15" s="112" t="n"/>
      <c r="F15" s="76" t="n"/>
      <c r="G15" s="76" t="n"/>
      <c r="I15" s="67" t="inlineStr">
        <is>
          <t>মোট লেনদেন সংখ্যা</t>
        </is>
      </c>
      <c r="J15" s="120">
        <f>COUNT($E$4:$E$203)</f>
        <v/>
      </c>
      <c r="K15" s="62" t="n"/>
    </row>
    <row r="16" ht="15" customHeight="1" s="52">
      <c r="A16" s="108" t="n"/>
      <c r="B16" s="75" t="n"/>
      <c r="C16" s="75" t="n"/>
      <c r="D16" s="109">
        <f t="array" ref="D16:D16">IFERROR(INDEX(GroupLookup,MATCH(C16,CategoryList,0)),"")</f>
        <v/>
      </c>
      <c r="E16" s="110" t="n"/>
      <c r="F16" s="75" t="n"/>
      <c r="G16" s="75" t="n"/>
      <c r="I16" s="70" t="inlineStr">
        <is>
          <t>দৈনিক গড় খরচ</t>
        </is>
      </c>
      <c r="J16" s="121">
        <f>IFERROR($J$12/30,0)</f>
        <v/>
      </c>
      <c r="K16" s="62" t="n"/>
    </row>
    <row r="17" ht="15" customHeight="1" s="52">
      <c r="A17" s="114" t="n"/>
      <c r="B17" s="76" t="n"/>
      <c r="C17" s="76" t="n"/>
      <c r="D17" s="109">
        <f t="array" ref="D17:D17">IFERROR(INDEX(GroupLookup,MATCH(C17,CategoryList,0)),"")</f>
        <v/>
      </c>
      <c r="E17" s="112" t="n"/>
      <c r="F17" s="76" t="n"/>
      <c r="G17" s="76" t="n"/>
      <c r="I17" s="67" t="inlineStr">
        <is>
          <t>প্রতি লেনদেনে গড়</t>
        </is>
      </c>
      <c r="J17" s="122">
        <f>IFERROR($J$12/COUNT($E$4:$E$203),0)</f>
        <v/>
      </c>
      <c r="K17" s="62" t="n"/>
    </row>
    <row r="18" ht="15" customHeight="1" s="52">
      <c r="A18" s="108" t="n"/>
      <c r="B18" s="75" t="n"/>
      <c r="C18" s="75" t="n"/>
      <c r="D18" s="109">
        <f t="array" ref="D18:D18">IFERROR(INDEX(GroupLookup,MATCH(C18,CategoryList,0)),"")</f>
        <v/>
      </c>
      <c r="E18" s="110" t="n"/>
      <c r="F18" s="75" t="n"/>
      <c r="G18" s="75" t="n"/>
      <c r="I18" s="70" t="inlineStr">
        <is>
          <t>সর্বোচ্চ একক খরচ</t>
        </is>
      </c>
      <c r="J18" s="121">
        <f>IFERROR(MAX($E$4:$E$203),0)</f>
        <v/>
      </c>
      <c r="K18" s="62" t="n"/>
    </row>
    <row r="19" ht="15" customHeight="1" s="52">
      <c r="A19" s="114" t="n"/>
      <c r="B19" s="76" t="n"/>
      <c r="C19" s="76" t="n"/>
      <c r="D19" s="109">
        <f t="array" ref="D19:D19">IFERROR(INDEX(GroupLookup,MATCH(C19,CategoryList,0)),"")</f>
        <v/>
      </c>
      <c r="E19" s="112" t="n"/>
      <c r="F19" s="76" t="n"/>
      <c r="G19" s="76" t="n"/>
      <c r="I19" s="67" t="inlineStr">
        <is>
          <t>সর্বোচ্চ ব্যয়ের গ্রুপ</t>
        </is>
      </c>
      <c r="J19" s="123">
        <f t="array" ref="J19:J19">IF($J$12=0,"–",IFERROR(INDEX($I$4:$I$11,MATCH(MAX($J$4:$J$11),$J$4:$J$11,0)),"–"))</f>
        <v/>
      </c>
      <c r="K19" s="62" t="n"/>
    </row>
    <row r="20" ht="15" customHeight="1" s="52">
      <c r="A20" s="108" t="n"/>
      <c r="B20" s="75" t="n"/>
      <c r="C20" s="75" t="n"/>
      <c r="D20" s="109">
        <f t="array" ref="D20:D20">IFERROR(INDEX(GroupLookup,MATCH(C20,CategoryList,0)),"")</f>
        <v/>
      </c>
      <c r="E20" s="110" t="n"/>
      <c r="F20" s="75" t="n"/>
      <c r="G20" s="75" t="n"/>
      <c r="I20" s="70" t="inlineStr">
        <is>
          <t>সর্বোচ্চ ব্যয়ের খাত</t>
        </is>
      </c>
      <c r="J20" s="124">
        <f t="array" ref="J20:J20">IF($J$12=0,"–",IFERROR(INDEX($I$23:$I$76,MATCH(MAX($J$23:$J$76),$J$23:$J$76,0)),"–"))</f>
        <v/>
      </c>
      <c r="K20" s="62" t="n"/>
    </row>
    <row r="21" ht="25.5" customHeight="1" s="52">
      <c r="A21" s="114" t="n"/>
      <c r="B21" s="76" t="n"/>
      <c r="C21" s="76" t="n"/>
      <c r="D21" s="109">
        <f t="array" ref="D21:D21">IFERROR(INDEX(GroupLookup,MATCH(C21,CategoryList,0)),"")</f>
        <v/>
      </c>
      <c r="E21" s="112" t="n"/>
      <c r="F21" s="76" t="n"/>
      <c r="G21" s="76" t="n"/>
      <c r="I21" s="119" t="inlineStr">
        <is>
          <t>খাতভিত্তিক বিস্তারিত</t>
        </is>
      </c>
    </row>
    <row r="22" ht="15.75" customHeight="1" s="52">
      <c r="A22" s="108" t="n"/>
      <c r="B22" s="75" t="n"/>
      <c r="C22" s="75" t="n"/>
      <c r="D22" s="109">
        <f t="array" ref="D22:D22">IFERROR(INDEX(GroupLookup,MATCH(C22,CategoryList,0)),"")</f>
        <v/>
      </c>
      <c r="E22" s="110" t="n"/>
      <c r="F22" s="75" t="n"/>
      <c r="G22" s="75" t="n"/>
      <c r="I22" s="100" t="inlineStr">
        <is>
          <t>খাত</t>
        </is>
      </c>
      <c r="J22" s="100" t="inlineStr">
        <is>
          <t>মোট (৳)</t>
        </is>
      </c>
      <c r="K22" s="100" t="inlineStr">
        <is>
          <t>শতাংশ</t>
        </is>
      </c>
    </row>
    <row r="23" ht="15.75" customHeight="1" s="52">
      <c r="A23" s="114" t="n"/>
      <c r="B23" s="76" t="n"/>
      <c r="C23" s="76" t="n"/>
      <c r="D23" s="109">
        <f t="array" ref="D23:D23">IFERROR(INDEX(GroupLookup,MATCH(C23,CategoryList,0)),"")</f>
        <v/>
      </c>
      <c r="E23" s="112" t="n"/>
      <c r="F23" s="76" t="n"/>
      <c r="G23" s="76" t="n"/>
      <c r="I23" s="75" t="inlineStr">
        <is>
          <t>চাল</t>
        </is>
      </c>
      <c r="J23" s="110">
        <f>SUMIF($C$4:$C$203,$I23,$E$4:$E$203)</f>
        <v/>
      </c>
      <c r="K23" s="111">
        <f>IFERROR($J23/$J$12,0)</f>
        <v/>
      </c>
    </row>
    <row r="24" ht="15.75" customHeight="1" s="52">
      <c r="A24" s="108" t="n"/>
      <c r="B24" s="75" t="n"/>
      <c r="C24" s="75" t="n"/>
      <c r="D24" s="109">
        <f t="array" ref="D24:D24">IFERROR(INDEX(GroupLookup,MATCH(C24,CategoryList,0)),"")</f>
        <v/>
      </c>
      <c r="E24" s="110" t="n"/>
      <c r="F24" s="75" t="n"/>
      <c r="G24" s="75" t="n"/>
      <c r="I24" s="76" t="inlineStr">
        <is>
          <t>আটা ও ময়দা</t>
        </is>
      </c>
      <c r="J24" s="112">
        <f>SUMIF($C$4:$C$203,$I24,$E$4:$E$203)</f>
        <v/>
      </c>
      <c r="K24" s="113">
        <f>IFERROR($J24/$J$12,0)</f>
        <v/>
      </c>
    </row>
    <row r="25" ht="15.75" customHeight="1" s="52">
      <c r="A25" s="114" t="n"/>
      <c r="B25" s="76" t="n"/>
      <c r="C25" s="76" t="n"/>
      <c r="D25" s="109">
        <f t="array" ref="D25:D25">IFERROR(INDEX(GroupLookup,MATCH(C25,CategoryList,0)),"")</f>
        <v/>
      </c>
      <c r="E25" s="112" t="n"/>
      <c r="F25" s="76" t="n"/>
      <c r="G25" s="76" t="n"/>
      <c r="I25" s="75" t="inlineStr">
        <is>
          <t>ডাল</t>
        </is>
      </c>
      <c r="J25" s="110">
        <f>SUMIF($C$4:$C$203,$I25,$E$4:$E$203)</f>
        <v/>
      </c>
      <c r="K25" s="111">
        <f>IFERROR($J25/$J$12,0)</f>
        <v/>
      </c>
    </row>
    <row r="26" ht="15.75" customHeight="1" s="52">
      <c r="A26" s="108" t="n"/>
      <c r="B26" s="75" t="n"/>
      <c r="C26" s="75" t="n"/>
      <c r="D26" s="109">
        <f t="array" ref="D26:D26">IFERROR(INDEX(GroupLookup,MATCH(C26,CategoryList,0)),"")</f>
        <v/>
      </c>
      <c r="E26" s="110" t="n"/>
      <c r="F26" s="75" t="n"/>
      <c r="G26" s="75" t="n"/>
      <c r="I26" s="76" t="inlineStr">
        <is>
          <t>মাছ</t>
        </is>
      </c>
      <c r="J26" s="112">
        <f>SUMIF($C$4:$C$203,$I26,$E$4:$E$203)</f>
        <v/>
      </c>
      <c r="K26" s="113">
        <f>IFERROR($J26/$J$12,0)</f>
        <v/>
      </c>
    </row>
    <row r="27" ht="15.75" customHeight="1" s="52">
      <c r="A27" s="114" t="n"/>
      <c r="B27" s="76" t="n"/>
      <c r="C27" s="76" t="n"/>
      <c r="D27" s="109">
        <f t="array" ref="D27:D27">IFERROR(INDEX(GroupLookup,MATCH(C27,CategoryList,0)),"")</f>
        <v/>
      </c>
      <c r="E27" s="112" t="n"/>
      <c r="F27" s="76" t="n"/>
      <c r="G27" s="76" t="n"/>
      <c r="I27" s="75" t="inlineStr">
        <is>
          <t>মাংস</t>
        </is>
      </c>
      <c r="J27" s="110">
        <f>SUMIF($C$4:$C$203,$I27,$E$4:$E$203)</f>
        <v/>
      </c>
      <c r="K27" s="111">
        <f>IFERROR($J27/$J$12,0)</f>
        <v/>
      </c>
    </row>
    <row r="28" ht="15.75" customHeight="1" s="52">
      <c r="A28" s="108" t="n"/>
      <c r="B28" s="75" t="n"/>
      <c r="C28" s="75" t="n"/>
      <c r="D28" s="109">
        <f t="array" ref="D28:D28">IFERROR(INDEX(GroupLookup,MATCH(C28,CategoryList,0)),"")</f>
        <v/>
      </c>
      <c r="E28" s="110" t="n"/>
      <c r="F28" s="75" t="n"/>
      <c r="G28" s="75" t="n"/>
      <c r="I28" s="76" t="inlineStr">
        <is>
          <t>ডিম</t>
        </is>
      </c>
      <c r="J28" s="112">
        <f>SUMIF($C$4:$C$203,$I28,$E$4:$E$203)</f>
        <v/>
      </c>
      <c r="K28" s="113">
        <f>IFERROR($J28/$J$12,0)</f>
        <v/>
      </c>
    </row>
    <row r="29" ht="15.75" customHeight="1" s="52">
      <c r="A29" s="114" t="n"/>
      <c r="B29" s="76" t="n"/>
      <c r="C29" s="76" t="n"/>
      <c r="D29" s="109">
        <f t="array" ref="D29:D29">IFERROR(INDEX(GroupLookup,MATCH(C29,CategoryList,0)),"")</f>
        <v/>
      </c>
      <c r="E29" s="112" t="n"/>
      <c r="F29" s="76" t="n"/>
      <c r="G29" s="76" t="n"/>
      <c r="I29" s="75" t="inlineStr">
        <is>
          <t>দুধ ও দুগ্ধজাত পণ্য</t>
        </is>
      </c>
      <c r="J29" s="110">
        <f>SUMIF($C$4:$C$203,$I29,$E$4:$E$203)</f>
        <v/>
      </c>
      <c r="K29" s="111">
        <f>IFERROR($J29/$J$12,0)</f>
        <v/>
      </c>
    </row>
    <row r="30" ht="15.75" customHeight="1" s="52">
      <c r="A30" s="108" t="n"/>
      <c r="B30" s="75" t="n"/>
      <c r="C30" s="75" t="n"/>
      <c r="D30" s="109">
        <f t="array" ref="D30:D30">IFERROR(INDEX(GroupLookup,MATCH(C30,CategoryList,0)),"")</f>
        <v/>
      </c>
      <c r="E30" s="110" t="n"/>
      <c r="F30" s="75" t="n"/>
      <c r="G30" s="75" t="n"/>
      <c r="I30" s="76" t="inlineStr">
        <is>
          <t>ভোজ্য তেল</t>
        </is>
      </c>
      <c r="J30" s="112">
        <f>SUMIF($C$4:$C$203,$I30,$E$4:$E$203)</f>
        <v/>
      </c>
      <c r="K30" s="113">
        <f>IFERROR($J30/$J$12,0)</f>
        <v/>
      </c>
    </row>
    <row r="31" ht="15.75" customHeight="1" s="52">
      <c r="A31" s="114" t="n"/>
      <c r="B31" s="76" t="n"/>
      <c r="C31" s="76" t="n"/>
      <c r="D31" s="109">
        <f t="array" ref="D31:D31">IFERROR(INDEX(GroupLookup,MATCH(C31,CategoryList,0)),"")</f>
        <v/>
      </c>
      <c r="E31" s="112" t="n"/>
      <c r="F31" s="76" t="n"/>
      <c r="G31" s="76" t="n"/>
      <c r="I31" s="75" t="inlineStr">
        <is>
          <t>শাক-সবজি</t>
        </is>
      </c>
      <c r="J31" s="110">
        <f>SUMIF($C$4:$C$203,$I31,$E$4:$E$203)</f>
        <v/>
      </c>
      <c r="K31" s="111">
        <f>IFERROR($J31/$J$12,0)</f>
        <v/>
      </c>
    </row>
    <row r="32" ht="15.75" customHeight="1" s="52">
      <c r="A32" s="108" t="n"/>
      <c r="B32" s="75" t="n"/>
      <c r="C32" s="75" t="n"/>
      <c r="D32" s="109">
        <f t="array" ref="D32:D32">IFERROR(INDEX(GroupLookup,MATCH(C32,CategoryList,0)),"")</f>
        <v/>
      </c>
      <c r="E32" s="110" t="n"/>
      <c r="F32" s="75" t="n"/>
      <c r="G32" s="75" t="n"/>
      <c r="I32" s="76" t="inlineStr">
        <is>
          <t>ফলমূল</t>
        </is>
      </c>
      <c r="J32" s="112">
        <f>SUMIF($C$4:$C$203,$I32,$E$4:$E$203)</f>
        <v/>
      </c>
      <c r="K32" s="113">
        <f>IFERROR($J32/$J$12,0)</f>
        <v/>
      </c>
    </row>
    <row r="33" ht="15.75" customHeight="1" s="52">
      <c r="A33" s="114" t="n"/>
      <c r="B33" s="76" t="n"/>
      <c r="C33" s="76" t="n"/>
      <c r="D33" s="109">
        <f t="array" ref="D33:D33">IFERROR(INDEX(GroupLookup,MATCH(C33,CategoryList,0)),"")</f>
        <v/>
      </c>
      <c r="E33" s="112" t="n"/>
      <c r="F33" s="76" t="n"/>
      <c r="G33" s="76" t="n"/>
      <c r="I33" s="75" t="inlineStr">
        <is>
          <t>মসলা</t>
        </is>
      </c>
      <c r="J33" s="110">
        <f>SUMIF($C$4:$C$203,$I33,$E$4:$E$203)</f>
        <v/>
      </c>
      <c r="K33" s="111">
        <f>IFERROR($J33/$J$12,0)</f>
        <v/>
      </c>
    </row>
    <row r="34" ht="15.75" customHeight="1" s="52">
      <c r="A34" s="108" t="n"/>
      <c r="B34" s="75" t="n"/>
      <c r="C34" s="75" t="n"/>
      <c r="D34" s="109">
        <f t="array" ref="D34:D34">IFERROR(INDEX(GroupLookup,MATCH(C34,CategoryList,0)),"")</f>
        <v/>
      </c>
      <c r="E34" s="110" t="n"/>
      <c r="F34" s="75" t="n"/>
      <c r="G34" s="75" t="n"/>
      <c r="I34" s="76" t="inlineStr">
        <is>
          <t>চিনি ও লবণ</t>
        </is>
      </c>
      <c r="J34" s="112">
        <f>SUMIF($C$4:$C$203,$I34,$E$4:$E$203)</f>
        <v/>
      </c>
      <c r="K34" s="113">
        <f>IFERROR($J34/$J$12,0)</f>
        <v/>
      </c>
    </row>
    <row r="35" ht="15.75" customHeight="1" s="52">
      <c r="A35" s="114" t="n"/>
      <c r="B35" s="76" t="n"/>
      <c r="C35" s="76" t="n"/>
      <c r="D35" s="109">
        <f t="array" ref="D35:D35">IFERROR(INDEX(GroupLookup,MATCH(C35,CategoryList,0)),"")</f>
        <v/>
      </c>
      <c r="E35" s="112" t="n"/>
      <c r="F35" s="76" t="n"/>
      <c r="G35" s="76" t="n"/>
      <c r="I35" s="75" t="inlineStr">
        <is>
          <t>চা ও কফি</t>
        </is>
      </c>
      <c r="J35" s="110">
        <f>SUMIF($C$4:$C$203,$I35,$E$4:$E$203)</f>
        <v/>
      </c>
      <c r="K35" s="111">
        <f>IFERROR($J35/$J$12,0)</f>
        <v/>
      </c>
    </row>
    <row r="36" ht="15.75" customHeight="1" s="52">
      <c r="A36" s="108" t="n"/>
      <c r="B36" s="75" t="n"/>
      <c r="C36" s="75" t="n"/>
      <c r="D36" s="109">
        <f t="array" ref="D36:D36">IFERROR(INDEX(GroupLookup,MATCH(C36,CategoryList,0)),"")</f>
        <v/>
      </c>
      <c r="E36" s="110" t="n"/>
      <c r="F36" s="75" t="n"/>
      <c r="G36" s="75" t="n"/>
      <c r="I36" s="76" t="inlineStr">
        <is>
          <t>নাশতা ও বেকারি</t>
        </is>
      </c>
      <c r="J36" s="112">
        <f>SUMIF($C$4:$C$203,$I36,$E$4:$E$203)</f>
        <v/>
      </c>
      <c r="K36" s="113">
        <f>IFERROR($J36/$J$12,0)</f>
        <v/>
      </c>
    </row>
    <row r="37" ht="15.75" customHeight="1" s="52">
      <c r="A37" s="114" t="n"/>
      <c r="B37" s="76" t="n"/>
      <c r="C37" s="76" t="n"/>
      <c r="D37" s="109">
        <f t="array" ref="D37:D37">IFERROR(INDEX(GroupLookup,MATCH(C37,CategoryList,0)),"")</f>
        <v/>
      </c>
      <c r="E37" s="112" t="n"/>
      <c r="F37" s="76" t="n"/>
      <c r="G37" s="76" t="n"/>
      <c r="I37" s="75" t="inlineStr">
        <is>
          <t>বাইরে খাওয়া / রেস্তোরাঁ</t>
        </is>
      </c>
      <c r="J37" s="110">
        <f>SUMIF($C$4:$C$203,$I37,$E$4:$E$203)</f>
        <v/>
      </c>
      <c r="K37" s="111">
        <f>IFERROR($J37/$J$12,0)</f>
        <v/>
      </c>
    </row>
    <row r="38" ht="15.75" customHeight="1" s="52">
      <c r="A38" s="108" t="n"/>
      <c r="B38" s="75" t="n"/>
      <c r="C38" s="75" t="n"/>
      <c r="D38" s="109">
        <f t="array" ref="D38:D38">IFERROR(INDEX(GroupLookup,MATCH(C38,CategoryList,0)),"")</f>
        <v/>
      </c>
      <c r="E38" s="110" t="n"/>
      <c r="F38" s="75" t="n"/>
      <c r="G38" s="75" t="n"/>
      <c r="I38" s="76" t="inlineStr">
        <is>
          <t>বাড়ি ভাড়া</t>
        </is>
      </c>
      <c r="J38" s="112">
        <f>SUMIF($C$4:$C$203,$I38,$E$4:$E$203)</f>
        <v/>
      </c>
      <c r="K38" s="113">
        <f>IFERROR($J38/$J$12,0)</f>
        <v/>
      </c>
    </row>
    <row r="39" ht="15.75" customHeight="1" s="52">
      <c r="A39" s="114" t="n"/>
      <c r="B39" s="76" t="n"/>
      <c r="C39" s="76" t="n"/>
      <c r="D39" s="109">
        <f t="array" ref="D39:D39">IFERROR(INDEX(GroupLookup,MATCH(C39,CategoryList,0)),"")</f>
        <v/>
      </c>
      <c r="E39" s="112" t="n"/>
      <c r="F39" s="76" t="n"/>
      <c r="G39" s="76" t="n"/>
      <c r="I39" s="75" t="inlineStr">
        <is>
          <t>সার্ভিস চার্জ</t>
        </is>
      </c>
      <c r="J39" s="110">
        <f>SUMIF($C$4:$C$203,$I39,$E$4:$E$203)</f>
        <v/>
      </c>
      <c r="K39" s="111">
        <f>IFERROR($J39/$J$12,0)</f>
        <v/>
      </c>
    </row>
    <row r="40" ht="15.75" customHeight="1" s="52">
      <c r="A40" s="108" t="n"/>
      <c r="B40" s="75" t="n"/>
      <c r="C40" s="75" t="n"/>
      <c r="D40" s="109">
        <f t="array" ref="D40:D40">IFERROR(INDEX(GroupLookup,MATCH(C40,CategoryList,0)),"")</f>
        <v/>
      </c>
      <c r="E40" s="110" t="n"/>
      <c r="F40" s="75" t="n"/>
      <c r="G40" s="75" t="n"/>
      <c r="I40" s="76" t="inlineStr">
        <is>
          <t>বাড়ি মেরামত ও রক্ষণাবেক্ষণ</t>
        </is>
      </c>
      <c r="J40" s="112">
        <f>SUMIF($C$4:$C$203,$I40,$E$4:$E$203)</f>
        <v/>
      </c>
      <c r="K40" s="113">
        <f>IFERROR($J40/$J$12,0)</f>
        <v/>
      </c>
    </row>
    <row r="41" ht="15.75" customHeight="1" s="52">
      <c r="A41" s="114" t="n"/>
      <c r="B41" s="76" t="n"/>
      <c r="C41" s="76" t="n"/>
      <c r="D41" s="109">
        <f t="array" ref="D41:D41">IFERROR(INDEX(GroupLookup,MATCH(C41,CategoryList,0)),"")</f>
        <v/>
      </c>
      <c r="E41" s="112" t="n"/>
      <c r="F41" s="76" t="n"/>
      <c r="G41" s="76" t="n"/>
      <c r="I41" s="75" t="inlineStr">
        <is>
          <t>গৃহকর্মীর বেতন</t>
        </is>
      </c>
      <c r="J41" s="110">
        <f>SUMIF($C$4:$C$203,$I41,$E$4:$E$203)</f>
        <v/>
      </c>
      <c r="K41" s="111">
        <f>IFERROR($J41/$J$12,0)</f>
        <v/>
      </c>
    </row>
    <row r="42" ht="15.75" customHeight="1" s="52">
      <c r="A42" s="108" t="n"/>
      <c r="B42" s="75" t="n"/>
      <c r="C42" s="75" t="n"/>
      <c r="D42" s="109">
        <f t="array" ref="D42:D42">IFERROR(INDEX(GroupLookup,MATCH(C42,CategoryList,0)),"")</f>
        <v/>
      </c>
      <c r="E42" s="110" t="n"/>
      <c r="F42" s="75" t="n"/>
      <c r="G42" s="75" t="n"/>
      <c r="I42" s="76" t="inlineStr">
        <is>
          <t>আসবাবপত্র</t>
        </is>
      </c>
      <c r="J42" s="112">
        <f>SUMIF($C$4:$C$203,$I42,$E$4:$E$203)</f>
        <v/>
      </c>
      <c r="K42" s="113">
        <f>IFERROR($J42/$J$12,0)</f>
        <v/>
      </c>
    </row>
    <row r="43" ht="15.75" customHeight="1" s="52">
      <c r="A43" s="114" t="n"/>
      <c r="B43" s="76" t="n"/>
      <c r="C43" s="76" t="n"/>
      <c r="D43" s="109">
        <f t="array" ref="D43:D43">IFERROR(INDEX(GroupLookup,MATCH(C43,CategoryList,0)),"")</f>
        <v/>
      </c>
      <c r="E43" s="112" t="n"/>
      <c r="F43" s="76" t="n"/>
      <c r="G43" s="76" t="n"/>
      <c r="I43" s="75" t="inlineStr">
        <is>
          <t>বিদ্যুৎ বিল</t>
        </is>
      </c>
      <c r="J43" s="110">
        <f>SUMIF($C$4:$C$203,$I43,$E$4:$E$203)</f>
        <v/>
      </c>
      <c r="K43" s="111">
        <f>IFERROR($J43/$J$12,0)</f>
        <v/>
      </c>
    </row>
    <row r="44" ht="15.75" customHeight="1" s="52">
      <c r="A44" s="108" t="n"/>
      <c r="B44" s="75" t="n"/>
      <c r="C44" s="75" t="n"/>
      <c r="D44" s="109">
        <f t="array" ref="D44:D44">IFERROR(INDEX(GroupLookup,MATCH(C44,CategoryList,0)),"")</f>
        <v/>
      </c>
      <c r="E44" s="110" t="n"/>
      <c r="F44" s="75" t="n"/>
      <c r="G44" s="75" t="n"/>
      <c r="I44" s="76" t="inlineStr">
        <is>
          <t>গ্যাস বিল</t>
        </is>
      </c>
      <c r="J44" s="112">
        <f>SUMIF($C$4:$C$203,$I44,$E$4:$E$203)</f>
        <v/>
      </c>
      <c r="K44" s="113">
        <f>IFERROR($J44/$J$12,0)</f>
        <v/>
      </c>
    </row>
    <row r="45" ht="15.75" customHeight="1" s="52">
      <c r="A45" s="114" t="n"/>
      <c r="B45" s="76" t="n"/>
      <c r="C45" s="76" t="n"/>
      <c r="D45" s="109">
        <f t="array" ref="D45:D45">IFERROR(INDEX(GroupLookup,MATCH(C45,CategoryList,0)),"")</f>
        <v/>
      </c>
      <c r="E45" s="112" t="n"/>
      <c r="F45" s="76" t="n"/>
      <c r="G45" s="76" t="n"/>
      <c r="I45" s="75" t="inlineStr">
        <is>
          <t>পানির বিল</t>
        </is>
      </c>
      <c r="J45" s="110">
        <f>SUMIF($C$4:$C$203,$I45,$E$4:$E$203)</f>
        <v/>
      </c>
      <c r="K45" s="111">
        <f>IFERROR($J45/$J$12,0)</f>
        <v/>
      </c>
    </row>
    <row r="46" ht="15.75" customHeight="1" s="52">
      <c r="A46" s="108" t="n"/>
      <c r="B46" s="75" t="n"/>
      <c r="C46" s="75" t="n"/>
      <c r="D46" s="109">
        <f t="array" ref="D46:D46">IFERROR(INDEX(GroupLookup,MATCH(C46,CategoryList,0)),"")</f>
        <v/>
      </c>
      <c r="E46" s="110" t="n"/>
      <c r="F46" s="75" t="n"/>
      <c r="G46" s="75" t="n"/>
      <c r="I46" s="76" t="inlineStr">
        <is>
          <t>ইন্টারনেট বিল</t>
        </is>
      </c>
      <c r="J46" s="112">
        <f>SUMIF($C$4:$C$203,$I46,$E$4:$E$203)</f>
        <v/>
      </c>
      <c r="K46" s="113">
        <f>IFERROR($J46/$J$12,0)</f>
        <v/>
      </c>
    </row>
    <row r="47" ht="15.75" customHeight="1" s="52">
      <c r="A47" s="114" t="n"/>
      <c r="B47" s="76" t="n"/>
      <c r="C47" s="76" t="n"/>
      <c r="D47" s="109">
        <f t="array" ref="D47:D47">IFERROR(INDEX(GroupLookup,MATCH(C47,CategoryList,0)),"")</f>
        <v/>
      </c>
      <c r="E47" s="112" t="n"/>
      <c r="F47" s="76" t="n"/>
      <c r="G47" s="76" t="n"/>
      <c r="I47" s="75" t="inlineStr">
        <is>
          <t>মোবাইল রিচার্জ</t>
        </is>
      </c>
      <c r="J47" s="110">
        <f>SUMIF($C$4:$C$203,$I47,$E$4:$E$203)</f>
        <v/>
      </c>
      <c r="K47" s="111">
        <f>IFERROR($J47/$J$12,0)</f>
        <v/>
      </c>
    </row>
    <row r="48" ht="15.75" customHeight="1" s="52">
      <c r="A48" s="108" t="n"/>
      <c r="B48" s="75" t="n"/>
      <c r="C48" s="75" t="n"/>
      <c r="D48" s="109">
        <f t="array" ref="D48:D48">IFERROR(INDEX(GroupLookup,MATCH(C48,CategoryList,0)),"")</f>
        <v/>
      </c>
      <c r="E48" s="110" t="n"/>
      <c r="F48" s="75" t="n"/>
      <c r="G48" s="75" t="n"/>
      <c r="I48" s="76" t="inlineStr">
        <is>
          <t>ডিশ / ক্যাবল বিল</t>
        </is>
      </c>
      <c r="J48" s="112">
        <f>SUMIF($C$4:$C$203,$I48,$E$4:$E$203)</f>
        <v/>
      </c>
      <c r="K48" s="113">
        <f>IFERROR($J48/$J$12,0)</f>
        <v/>
      </c>
    </row>
    <row r="49" ht="15.75" customHeight="1" s="52">
      <c r="A49" s="114" t="n"/>
      <c r="B49" s="76" t="n"/>
      <c r="C49" s="76" t="n"/>
      <c r="D49" s="109">
        <f t="array" ref="D49:D49">IFERROR(INDEX(GroupLookup,MATCH(C49,CategoryList,0)),"")</f>
        <v/>
      </c>
      <c r="E49" s="112" t="n"/>
      <c r="F49" s="76" t="n"/>
      <c r="G49" s="76" t="n"/>
      <c r="I49" s="75" t="inlineStr">
        <is>
          <t>পৌর কর ও হোল্ডিং ট্যাক্স</t>
        </is>
      </c>
      <c r="J49" s="110">
        <f>SUMIF($C$4:$C$203,$I49,$E$4:$E$203)</f>
        <v/>
      </c>
      <c r="K49" s="111">
        <f>IFERROR($J49/$J$12,0)</f>
        <v/>
      </c>
    </row>
    <row r="50" ht="15.75" customHeight="1" s="52">
      <c r="A50" s="108" t="n"/>
      <c r="B50" s="75" t="n"/>
      <c r="C50" s="75" t="n"/>
      <c r="D50" s="109">
        <f t="array" ref="D50:D50">IFERROR(INDEX(GroupLookup,MATCH(C50,CategoryList,0)),"")</f>
        <v/>
      </c>
      <c r="E50" s="110" t="n"/>
      <c r="F50" s="75" t="n"/>
      <c r="G50" s="75" t="n"/>
      <c r="I50" s="76" t="inlineStr">
        <is>
          <t>ময়লা ও পরিচ্ছন্নতা বিল</t>
        </is>
      </c>
      <c r="J50" s="112">
        <f>SUMIF($C$4:$C$203,$I50,$E$4:$E$203)</f>
        <v/>
      </c>
      <c r="K50" s="113">
        <f>IFERROR($J50/$J$12,0)</f>
        <v/>
      </c>
    </row>
    <row r="51" ht="15.75" customHeight="1" s="52">
      <c r="A51" s="114" t="n"/>
      <c r="B51" s="76" t="n"/>
      <c r="C51" s="76" t="n"/>
      <c r="D51" s="109">
        <f t="array" ref="D51:D51">IFERROR(INDEX(GroupLookup,MATCH(C51,CategoryList,0)),"")</f>
        <v/>
      </c>
      <c r="E51" s="112" t="n"/>
      <c r="F51" s="76" t="n"/>
      <c r="G51" s="76" t="n"/>
      <c r="I51" s="75" t="inlineStr">
        <is>
          <t>রিকশা / সিএনজি</t>
        </is>
      </c>
      <c r="J51" s="110">
        <f>SUMIF($C$4:$C$203,$I51,$E$4:$E$203)</f>
        <v/>
      </c>
      <c r="K51" s="111">
        <f>IFERROR($J51/$J$12,0)</f>
        <v/>
      </c>
    </row>
    <row r="52" ht="15.75" customHeight="1" s="52">
      <c r="A52" s="108" t="n"/>
      <c r="B52" s="75" t="n"/>
      <c r="C52" s="75" t="n"/>
      <c r="D52" s="109">
        <f t="array" ref="D52:D52">IFERROR(INDEX(GroupLookup,MATCH(C52,CategoryList,0)),"")</f>
        <v/>
      </c>
      <c r="E52" s="110" t="n"/>
      <c r="F52" s="75" t="n"/>
      <c r="G52" s="75" t="n"/>
      <c r="I52" s="76" t="inlineStr">
        <is>
          <t>বাস / ট্রেন / লঞ্চ ভাড়া</t>
        </is>
      </c>
      <c r="J52" s="112">
        <f>SUMIF($C$4:$C$203,$I52,$E$4:$E$203)</f>
        <v/>
      </c>
      <c r="K52" s="113">
        <f>IFERROR($J52/$J$12,0)</f>
        <v/>
      </c>
    </row>
    <row r="53" ht="15.75" customHeight="1" s="52">
      <c r="A53" s="114" t="n"/>
      <c r="B53" s="76" t="n"/>
      <c r="C53" s="76" t="n"/>
      <c r="D53" s="109">
        <f t="array" ref="D53:D53">IFERROR(INDEX(GroupLookup,MATCH(C53,CategoryList,0)),"")</f>
        <v/>
      </c>
      <c r="E53" s="112" t="n"/>
      <c r="F53" s="76" t="n"/>
      <c r="G53" s="76" t="n"/>
      <c r="I53" s="75" t="inlineStr">
        <is>
          <t>রাইড শেয়ারিং</t>
        </is>
      </c>
      <c r="J53" s="110">
        <f>SUMIF($C$4:$C$203,$I53,$E$4:$E$203)</f>
        <v/>
      </c>
      <c r="K53" s="111">
        <f>IFERROR($J53/$J$12,0)</f>
        <v/>
      </c>
    </row>
    <row r="54" ht="15.75" customHeight="1" s="52">
      <c r="A54" s="108" t="n"/>
      <c r="B54" s="75" t="n"/>
      <c r="C54" s="75" t="n"/>
      <c r="D54" s="109">
        <f t="array" ref="D54:D54">IFERROR(INDEX(GroupLookup,MATCH(C54,CategoryList,0)),"")</f>
        <v/>
      </c>
      <c r="E54" s="110" t="n"/>
      <c r="F54" s="75" t="n"/>
      <c r="G54" s="75" t="n"/>
      <c r="I54" s="76" t="inlineStr">
        <is>
          <t>জ্বালানি (পেট্রোল / ডিজেল)</t>
        </is>
      </c>
      <c r="J54" s="112">
        <f>SUMIF($C$4:$C$203,$I54,$E$4:$E$203)</f>
        <v/>
      </c>
      <c r="K54" s="113">
        <f>IFERROR($J54/$J$12,0)</f>
        <v/>
      </c>
    </row>
    <row r="55" ht="15.75" customHeight="1" s="52">
      <c r="A55" s="114" t="n"/>
      <c r="B55" s="76" t="n"/>
      <c r="C55" s="76" t="n"/>
      <c r="D55" s="109">
        <f t="array" ref="D55:D55">IFERROR(INDEX(GroupLookup,MATCH(C55,CategoryList,0)),"")</f>
        <v/>
      </c>
      <c r="E55" s="112" t="n"/>
      <c r="F55" s="76" t="n"/>
      <c r="G55" s="76" t="n"/>
      <c r="I55" s="75" t="inlineStr">
        <is>
          <t>গাড়ি / বাইক রক্ষণাবেক্ষণ</t>
        </is>
      </c>
      <c r="J55" s="110">
        <f>SUMIF($C$4:$C$203,$I55,$E$4:$E$203)</f>
        <v/>
      </c>
      <c r="K55" s="111">
        <f>IFERROR($J55/$J$12,0)</f>
        <v/>
      </c>
    </row>
    <row r="56" ht="15.75" customHeight="1" s="52">
      <c r="A56" s="108" t="n"/>
      <c r="B56" s="75" t="n"/>
      <c r="C56" s="75" t="n"/>
      <c r="D56" s="109">
        <f t="array" ref="D56:D56">IFERROR(INDEX(GroupLookup,MATCH(C56,CategoryList,0)),"")</f>
        <v/>
      </c>
      <c r="E56" s="110" t="n"/>
      <c r="F56" s="75" t="n"/>
      <c r="G56" s="75" t="n"/>
      <c r="I56" s="76" t="inlineStr">
        <is>
          <t>পার্কিং ও টোল</t>
        </is>
      </c>
      <c r="J56" s="112">
        <f>SUMIF($C$4:$C$203,$I56,$E$4:$E$203)</f>
        <v/>
      </c>
      <c r="K56" s="113">
        <f>IFERROR($J56/$J$12,0)</f>
        <v/>
      </c>
    </row>
    <row r="57" ht="15.75" customHeight="1" s="52">
      <c r="A57" s="114" t="n"/>
      <c r="B57" s="76" t="n"/>
      <c r="C57" s="76" t="n"/>
      <c r="D57" s="109">
        <f t="array" ref="D57:D57">IFERROR(INDEX(GroupLookup,MATCH(C57,CategoryList,0)),"")</f>
        <v/>
      </c>
      <c r="E57" s="112" t="n"/>
      <c r="F57" s="76" t="n"/>
      <c r="G57" s="76" t="n"/>
      <c r="I57" s="75" t="inlineStr">
        <is>
          <t>ওষুধ</t>
        </is>
      </c>
      <c r="J57" s="110">
        <f>SUMIF($C$4:$C$203,$I57,$E$4:$E$203)</f>
        <v/>
      </c>
      <c r="K57" s="111">
        <f>IFERROR($J57/$J$12,0)</f>
        <v/>
      </c>
    </row>
    <row r="58" ht="15.75" customHeight="1" s="52">
      <c r="A58" s="108" t="n"/>
      <c r="B58" s="75" t="n"/>
      <c r="C58" s="75" t="n"/>
      <c r="D58" s="109">
        <f t="array" ref="D58:D58">IFERROR(INDEX(GroupLookup,MATCH(C58,CategoryList,0)),"")</f>
        <v/>
      </c>
      <c r="E58" s="110" t="n"/>
      <c r="F58" s="75" t="n"/>
      <c r="G58" s="75" t="n"/>
      <c r="I58" s="76" t="inlineStr">
        <is>
          <t>ডাক্তারের ফি</t>
        </is>
      </c>
      <c r="J58" s="112">
        <f>SUMIF($C$4:$C$203,$I58,$E$4:$E$203)</f>
        <v/>
      </c>
      <c r="K58" s="113">
        <f>IFERROR($J58/$J$12,0)</f>
        <v/>
      </c>
    </row>
    <row r="59" ht="15.75" customHeight="1" s="52">
      <c r="A59" s="114" t="n"/>
      <c r="B59" s="76" t="n"/>
      <c r="C59" s="76" t="n"/>
      <c r="D59" s="109">
        <f t="array" ref="D59:D59">IFERROR(INDEX(GroupLookup,MATCH(C59,CategoryList,0)),"")</f>
        <v/>
      </c>
      <c r="E59" s="112" t="n"/>
      <c r="F59" s="76" t="n"/>
      <c r="G59" s="76" t="n"/>
      <c r="I59" s="75" t="inlineStr">
        <is>
          <t>চিকিৎসা পরীক্ষা</t>
        </is>
      </c>
      <c r="J59" s="110">
        <f>SUMIF($C$4:$C$203,$I59,$E$4:$E$203)</f>
        <v/>
      </c>
      <c r="K59" s="111">
        <f>IFERROR($J59/$J$12,0)</f>
        <v/>
      </c>
    </row>
    <row r="60" ht="15.75" customHeight="1" s="52">
      <c r="A60" s="108" t="n"/>
      <c r="B60" s="75" t="n"/>
      <c r="C60" s="75" t="n"/>
      <c r="D60" s="109">
        <f t="array" ref="D60:D60">IFERROR(INDEX(GroupLookup,MATCH(C60,CategoryList,0)),"")</f>
        <v/>
      </c>
      <c r="E60" s="110" t="n"/>
      <c r="F60" s="75" t="n"/>
      <c r="G60" s="75" t="n"/>
      <c r="I60" s="76" t="inlineStr">
        <is>
          <t>স্বাস্থ্য বীমা</t>
        </is>
      </c>
      <c r="J60" s="112">
        <f>SUMIF($C$4:$C$203,$I60,$E$4:$E$203)</f>
        <v/>
      </c>
      <c r="K60" s="113">
        <f>IFERROR($J60/$J$12,0)</f>
        <v/>
      </c>
    </row>
    <row r="61" ht="15.75" customHeight="1" s="52">
      <c r="A61" s="114" t="n"/>
      <c r="B61" s="76" t="n"/>
      <c r="C61" s="76" t="n"/>
      <c r="D61" s="109">
        <f t="array" ref="D61:D61">IFERROR(INDEX(GroupLookup,MATCH(C61,CategoryList,0)),"")</f>
        <v/>
      </c>
      <c r="E61" s="112" t="n"/>
      <c r="F61" s="76" t="n"/>
      <c r="G61" s="76" t="n"/>
      <c r="I61" s="75" t="inlineStr">
        <is>
          <t>স্কুল / কলেজ ফি</t>
        </is>
      </c>
      <c r="J61" s="110">
        <f>SUMIF($C$4:$C$203,$I61,$E$4:$E$203)</f>
        <v/>
      </c>
      <c r="K61" s="111">
        <f>IFERROR($J61/$J$12,0)</f>
        <v/>
      </c>
    </row>
    <row r="62" ht="15.75" customHeight="1" s="52">
      <c r="A62" s="108" t="n"/>
      <c r="B62" s="75" t="n"/>
      <c r="C62" s="75" t="n"/>
      <c r="D62" s="109">
        <f t="array" ref="D62:D62">IFERROR(INDEX(GroupLookup,MATCH(C62,CategoryList,0)),"")</f>
        <v/>
      </c>
      <c r="E62" s="110" t="n"/>
      <c r="F62" s="75" t="n"/>
      <c r="G62" s="75" t="n"/>
      <c r="I62" s="76" t="inlineStr">
        <is>
          <t>প্রাইভেট / কোচিং</t>
        </is>
      </c>
      <c r="J62" s="112">
        <f>SUMIF($C$4:$C$203,$I62,$E$4:$E$203)</f>
        <v/>
      </c>
      <c r="K62" s="113">
        <f>IFERROR($J62/$J$12,0)</f>
        <v/>
      </c>
    </row>
    <row r="63" ht="15.75" customHeight="1" s="52">
      <c r="A63" s="114" t="n"/>
      <c r="B63" s="76" t="n"/>
      <c r="C63" s="76" t="n"/>
      <c r="D63" s="109">
        <f t="array" ref="D63:D63">IFERROR(INDEX(GroupLookup,MATCH(C63,CategoryList,0)),"")</f>
        <v/>
      </c>
      <c r="E63" s="112" t="n"/>
      <c r="F63" s="76" t="n"/>
      <c r="G63" s="76" t="n"/>
      <c r="I63" s="75" t="inlineStr">
        <is>
          <t>বই ও শিক্ষা উপকরণ</t>
        </is>
      </c>
      <c r="J63" s="110">
        <f>SUMIF($C$4:$C$203,$I63,$E$4:$E$203)</f>
        <v/>
      </c>
      <c r="K63" s="111">
        <f>IFERROR($J63/$J$12,0)</f>
        <v/>
      </c>
    </row>
    <row r="64" ht="15.75" customHeight="1" s="52">
      <c r="A64" s="108" t="n"/>
      <c r="B64" s="75" t="n"/>
      <c r="C64" s="75" t="n"/>
      <c r="D64" s="109">
        <f t="array" ref="D64:D64">IFERROR(INDEX(GroupLookup,MATCH(C64,CategoryList,0)),"")</f>
        <v/>
      </c>
      <c r="E64" s="110" t="n"/>
      <c r="F64" s="75" t="n"/>
      <c r="G64" s="75" t="n"/>
      <c r="I64" s="76" t="inlineStr">
        <is>
          <t>পরীক্ষার ফি</t>
        </is>
      </c>
      <c r="J64" s="112">
        <f>SUMIF($C$4:$C$203,$I64,$E$4:$E$203)</f>
        <v/>
      </c>
      <c r="K64" s="113">
        <f>IFERROR($J64/$J$12,0)</f>
        <v/>
      </c>
    </row>
    <row r="65" ht="15.75" customHeight="1" s="52">
      <c r="A65" s="114" t="n"/>
      <c r="B65" s="76" t="n"/>
      <c r="C65" s="76" t="n"/>
      <c r="D65" s="109">
        <f t="array" ref="D65:D65">IFERROR(INDEX(GroupLookup,MATCH(C65,CategoryList,0)),"")</f>
        <v/>
      </c>
      <c r="E65" s="112" t="n"/>
      <c r="F65" s="76" t="n"/>
      <c r="G65" s="76" t="n"/>
      <c r="I65" s="75" t="inlineStr">
        <is>
          <t>পোশাক ও জুতা</t>
        </is>
      </c>
      <c r="J65" s="110">
        <f>SUMIF($C$4:$C$203,$I65,$E$4:$E$203)</f>
        <v/>
      </c>
      <c r="K65" s="111">
        <f>IFERROR($J65/$J$12,0)</f>
        <v/>
      </c>
    </row>
    <row r="66" ht="15.75" customHeight="1" s="52">
      <c r="A66" s="108" t="n"/>
      <c r="B66" s="75" t="n"/>
      <c r="C66" s="75" t="n"/>
      <c r="D66" s="109">
        <f t="array" ref="D66:D66">IFERROR(INDEX(GroupLookup,MATCH(C66,CategoryList,0)),"")</f>
        <v/>
      </c>
      <c r="E66" s="110" t="n"/>
      <c r="F66" s="75" t="n"/>
      <c r="G66" s="75" t="n"/>
      <c r="I66" s="76" t="inlineStr">
        <is>
          <t>প্রসাধনী ও পরিচর্যা</t>
        </is>
      </c>
      <c r="J66" s="112">
        <f>SUMIF($C$4:$C$203,$I66,$E$4:$E$203)</f>
        <v/>
      </c>
      <c r="K66" s="113">
        <f>IFERROR($J66/$J$12,0)</f>
        <v/>
      </c>
    </row>
    <row r="67" ht="15.75" customHeight="1" s="52">
      <c r="A67" s="114" t="n"/>
      <c r="B67" s="76" t="n"/>
      <c r="C67" s="76" t="n"/>
      <c r="D67" s="109">
        <f t="array" ref="D67:D67">IFERROR(INDEX(GroupLookup,MATCH(C67,CategoryList,0)),"")</f>
        <v/>
      </c>
      <c r="E67" s="112" t="n"/>
      <c r="F67" s="76" t="n"/>
      <c r="G67" s="76" t="n"/>
      <c r="I67" s="75" t="inlineStr">
        <is>
          <t>সাবান ও ডিটারজেন্ট</t>
        </is>
      </c>
      <c r="J67" s="110">
        <f>SUMIF($C$4:$C$203,$I67,$E$4:$E$203)</f>
        <v/>
      </c>
      <c r="K67" s="111">
        <f>IFERROR($J67/$J$12,0)</f>
        <v/>
      </c>
    </row>
    <row r="68" ht="15.75" customHeight="1" s="52">
      <c r="A68" s="108" t="n"/>
      <c r="B68" s="75" t="n"/>
      <c r="C68" s="75" t="n"/>
      <c r="D68" s="109">
        <f t="array" ref="D68:D68">IFERROR(INDEX(GroupLookup,MATCH(C68,CategoryList,0)),"")</f>
        <v/>
      </c>
      <c r="E68" s="110" t="n"/>
      <c r="F68" s="75" t="n"/>
      <c r="G68" s="75" t="n"/>
      <c r="I68" s="76" t="inlineStr">
        <is>
          <t>গৃহস্থালি সামগ্রী</t>
        </is>
      </c>
      <c r="J68" s="112">
        <f>SUMIF($C$4:$C$203,$I68,$E$4:$E$203)</f>
        <v/>
      </c>
      <c r="K68" s="113">
        <f>IFERROR($J68/$J$12,0)</f>
        <v/>
      </c>
    </row>
    <row r="69" ht="15.75" customHeight="1" s="52">
      <c r="A69" s="114" t="n"/>
      <c r="B69" s="76" t="n"/>
      <c r="C69" s="76" t="n"/>
      <c r="D69" s="109">
        <f t="array" ref="D69:D69">IFERROR(INDEX(GroupLookup,MATCH(C69,CategoryList,0)),"")</f>
        <v/>
      </c>
      <c r="E69" s="112" t="n"/>
      <c r="F69" s="76" t="n"/>
      <c r="G69" s="76" t="n"/>
      <c r="I69" s="75" t="inlineStr">
        <is>
          <t>সেলুন / পার্লার</t>
        </is>
      </c>
      <c r="J69" s="110">
        <f>SUMIF($C$4:$C$203,$I69,$E$4:$E$203)</f>
        <v/>
      </c>
      <c r="K69" s="111">
        <f>IFERROR($J69/$J$12,0)</f>
        <v/>
      </c>
    </row>
    <row r="70" ht="15.75" customHeight="1" s="52">
      <c r="A70" s="108" t="n"/>
      <c r="B70" s="75" t="n"/>
      <c r="C70" s="75" t="n"/>
      <c r="D70" s="109">
        <f t="array" ref="D70:D70">IFERROR(INDEX(GroupLookup,MATCH(C70,CategoryList,0)),"")</f>
        <v/>
      </c>
      <c r="E70" s="110" t="n"/>
      <c r="F70" s="75" t="n"/>
      <c r="G70" s="75" t="n"/>
      <c r="I70" s="76" t="inlineStr">
        <is>
          <t>বিনোদন ও ঘোরাঘুরি</t>
        </is>
      </c>
      <c r="J70" s="112">
        <f>SUMIF($C$4:$C$203,$I70,$E$4:$E$203)</f>
        <v/>
      </c>
      <c r="K70" s="113">
        <f>IFERROR($J70/$J$12,0)</f>
        <v/>
      </c>
    </row>
    <row r="71" ht="15.75" customHeight="1" s="52">
      <c r="A71" s="114" t="n"/>
      <c r="B71" s="76" t="n"/>
      <c r="C71" s="76" t="n"/>
      <c r="D71" s="109">
        <f t="array" ref="D71:D71">IFERROR(INDEX(GroupLookup,MATCH(C71,CategoryList,0)),"")</f>
        <v/>
      </c>
      <c r="E71" s="112" t="n"/>
      <c r="F71" s="76" t="n"/>
      <c r="G71" s="76" t="n"/>
      <c r="I71" s="75" t="inlineStr">
        <is>
          <t>উপহার ও অনুষ্ঠান</t>
        </is>
      </c>
      <c r="J71" s="110">
        <f>SUMIF($C$4:$C$203,$I71,$E$4:$E$203)</f>
        <v/>
      </c>
      <c r="K71" s="111">
        <f>IFERROR($J71/$J$12,0)</f>
        <v/>
      </c>
    </row>
    <row r="72" ht="15.75" customHeight="1" s="52">
      <c r="A72" s="108" t="n"/>
      <c r="B72" s="75" t="n"/>
      <c r="C72" s="75" t="n"/>
      <c r="D72" s="109">
        <f t="array" ref="D72:D72">IFERROR(INDEX(GroupLookup,MATCH(C72,CategoryList,0)),"")</f>
        <v/>
      </c>
      <c r="E72" s="110" t="n"/>
      <c r="F72" s="75" t="n"/>
      <c r="G72" s="75" t="n"/>
      <c r="I72" s="76" t="inlineStr">
        <is>
          <t>দান ও যাকাত</t>
        </is>
      </c>
      <c r="J72" s="112">
        <f>SUMIF($C$4:$C$203,$I72,$E$4:$E$203)</f>
        <v/>
      </c>
      <c r="K72" s="113">
        <f>IFERROR($J72/$J$12,0)</f>
        <v/>
      </c>
    </row>
    <row r="73" ht="15.75" customHeight="1" s="52">
      <c r="A73" s="114" t="n"/>
      <c r="B73" s="76" t="n"/>
      <c r="C73" s="76" t="n"/>
      <c r="D73" s="109">
        <f t="array" ref="D73:D73">IFERROR(INDEX(GroupLookup,MATCH(C73,CategoryList,0)),"")</f>
        <v/>
      </c>
      <c r="E73" s="112" t="n"/>
      <c r="F73" s="76" t="n"/>
      <c r="G73" s="76" t="n"/>
      <c r="I73" s="75" t="inlineStr">
        <is>
          <t>সঞ্চয় ও বিনিয়োগ</t>
        </is>
      </c>
      <c r="J73" s="110">
        <f>SUMIF($C$4:$C$203,$I73,$E$4:$E$203)</f>
        <v/>
      </c>
      <c r="K73" s="111">
        <f>IFERROR($J73/$J$12,0)</f>
        <v/>
      </c>
    </row>
    <row r="74" ht="15.75" customHeight="1" s="52">
      <c r="A74" s="108" t="n"/>
      <c r="B74" s="75" t="n"/>
      <c r="C74" s="75" t="n"/>
      <c r="D74" s="109">
        <f t="array" ref="D74:D74">IFERROR(INDEX(GroupLookup,MATCH(C74,CategoryList,0)),"")</f>
        <v/>
      </c>
      <c r="E74" s="110" t="n"/>
      <c r="F74" s="75" t="n"/>
      <c r="G74" s="75" t="n"/>
      <c r="I74" s="76" t="inlineStr">
        <is>
          <t>ঋণ পরিশোধ / কিস্তি</t>
        </is>
      </c>
      <c r="J74" s="112">
        <f>SUMIF($C$4:$C$203,$I74,$E$4:$E$203)</f>
        <v/>
      </c>
      <c r="K74" s="113">
        <f>IFERROR($J74/$J$12,0)</f>
        <v/>
      </c>
    </row>
    <row r="75" ht="15.75" customHeight="1" s="52">
      <c r="A75" s="114" t="n"/>
      <c r="B75" s="76" t="n"/>
      <c r="C75" s="76" t="n"/>
      <c r="D75" s="109">
        <f t="array" ref="D75:D75">IFERROR(INDEX(GroupLookup,MATCH(C75,CategoryList,0)),"")</f>
        <v/>
      </c>
      <c r="E75" s="112" t="n"/>
      <c r="F75" s="76" t="n"/>
      <c r="G75" s="76" t="n"/>
      <c r="I75" s="75" t="inlineStr">
        <is>
          <t>বীমা প্রিমিয়াম</t>
        </is>
      </c>
      <c r="J75" s="110">
        <f>SUMIF($C$4:$C$203,$I75,$E$4:$E$203)</f>
        <v/>
      </c>
      <c r="K75" s="111">
        <f>IFERROR($J75/$J$12,0)</f>
        <v/>
      </c>
    </row>
    <row r="76" ht="15.75" customHeight="1" s="52">
      <c r="A76" s="108" t="n"/>
      <c r="B76" s="75" t="n"/>
      <c r="C76" s="75" t="n"/>
      <c r="D76" s="109">
        <f t="array" ref="D76:D76">IFERROR(INDEX(GroupLookup,MATCH(C76,CategoryList,0)),"")</f>
        <v/>
      </c>
      <c r="E76" s="110" t="n"/>
      <c r="F76" s="75" t="n"/>
      <c r="G76" s="75" t="n"/>
      <c r="I76" s="76" t="inlineStr">
        <is>
          <t>অন্যান্য খরচ</t>
        </is>
      </c>
      <c r="J76" s="112">
        <f>SUMIF($C$4:$C$203,$I76,$E$4:$E$203)</f>
        <v/>
      </c>
      <c r="K76" s="113">
        <f>IFERROR($J76/$J$12,0)</f>
        <v/>
      </c>
    </row>
    <row r="77" ht="15.75" customHeight="1" s="52">
      <c r="A77" s="114" t="n"/>
      <c r="B77" s="76" t="n"/>
      <c r="C77" s="76" t="n"/>
      <c r="D77" s="109">
        <f t="array" ref="D77:D77">IFERROR(INDEX(GroupLookup,MATCH(C77,CategoryList,0)),"")</f>
        <v/>
      </c>
      <c r="E77" s="112" t="n"/>
      <c r="F77" s="76" t="n"/>
      <c r="G77" s="76" t="n"/>
      <c r="I77" s="72" t="inlineStr">
        <is>
          <t>সর্বমোট</t>
        </is>
      </c>
      <c r="J77" s="117">
        <f>SUM($J$23:$J$76)</f>
        <v/>
      </c>
      <c r="K77" s="118">
        <f>IFERROR($J$77/$J$12,0)</f>
        <v/>
      </c>
    </row>
    <row r="78" ht="15.75" customHeight="1" s="52">
      <c r="A78" s="108" t="n"/>
      <c r="B78" s="75" t="n"/>
      <c r="C78" s="75" t="n"/>
      <c r="D78" s="109">
        <f t="array" ref="D78:D78">IFERROR(INDEX(GroupLookup,MATCH(C78,CategoryList,0)),"")</f>
        <v/>
      </c>
      <c r="E78" s="110" t="n"/>
      <c r="F78" s="75" t="n"/>
      <c r="G78" s="75" t="n"/>
    </row>
    <row r="79" ht="15.75" customHeight="1" s="52">
      <c r="A79" s="114" t="n"/>
      <c r="B79" s="76" t="n"/>
      <c r="C79" s="76" t="n"/>
      <c r="D79" s="109">
        <f t="array" ref="D79:D79">IFERROR(INDEX(GroupLookup,MATCH(C79,CategoryList,0)),"")</f>
        <v/>
      </c>
      <c r="E79" s="112" t="n"/>
      <c r="F79" s="76" t="n"/>
      <c r="G79" s="76" t="n"/>
    </row>
    <row r="80" ht="15.75" customHeight="1" s="52">
      <c r="A80" s="108" t="n"/>
      <c r="B80" s="75" t="n"/>
      <c r="C80" s="75" t="n"/>
      <c r="D80" s="109">
        <f t="array" ref="D80:D80">IFERROR(INDEX(GroupLookup,MATCH(C80,CategoryList,0)),"")</f>
        <v/>
      </c>
      <c r="E80" s="110" t="n"/>
      <c r="F80" s="75" t="n"/>
      <c r="G80" s="75" t="n"/>
    </row>
    <row r="81" ht="15.75" customHeight="1" s="52">
      <c r="A81" s="114" t="n"/>
      <c r="B81" s="76" t="n"/>
      <c r="C81" s="76" t="n"/>
      <c r="D81" s="109">
        <f t="array" ref="D81:D81">IFERROR(INDEX(GroupLookup,MATCH(C81,CategoryList,0)),"")</f>
        <v/>
      </c>
      <c r="E81" s="112" t="n"/>
      <c r="F81" s="76" t="n"/>
      <c r="G81" s="76" t="n"/>
    </row>
    <row r="82" ht="15.75" customHeight="1" s="52">
      <c r="A82" s="108" t="n"/>
      <c r="B82" s="75" t="n"/>
      <c r="C82" s="75" t="n"/>
      <c r="D82" s="109">
        <f t="array" ref="D82:D82">IFERROR(INDEX(GroupLookup,MATCH(C82,CategoryList,0)),"")</f>
        <v/>
      </c>
      <c r="E82" s="110" t="n"/>
      <c r="F82" s="75" t="n"/>
      <c r="G82" s="75" t="n"/>
    </row>
    <row r="83" ht="15.75" customHeight="1" s="52">
      <c r="A83" s="114" t="n"/>
      <c r="B83" s="76" t="n"/>
      <c r="C83" s="76" t="n"/>
      <c r="D83" s="109">
        <f t="array" ref="D83:D83">IFERROR(INDEX(GroupLookup,MATCH(C83,CategoryList,0)),"")</f>
        <v/>
      </c>
      <c r="E83" s="112" t="n"/>
      <c r="F83" s="76" t="n"/>
      <c r="G83" s="76" t="n"/>
    </row>
    <row r="84" ht="15.75" customHeight="1" s="52">
      <c r="A84" s="108" t="n"/>
      <c r="B84" s="75" t="n"/>
      <c r="C84" s="75" t="n"/>
      <c r="D84" s="109">
        <f t="array" ref="D84:D84">IFERROR(INDEX(GroupLookup,MATCH(C84,CategoryList,0)),"")</f>
        <v/>
      </c>
      <c r="E84" s="110" t="n"/>
      <c r="F84" s="75" t="n"/>
      <c r="G84" s="75" t="n"/>
    </row>
    <row r="85" ht="15.75" customHeight="1" s="52">
      <c r="A85" s="114" t="n"/>
      <c r="B85" s="76" t="n"/>
      <c r="C85" s="76" t="n"/>
      <c r="D85" s="109">
        <f t="array" ref="D85:D85">IFERROR(INDEX(GroupLookup,MATCH(C85,CategoryList,0)),"")</f>
        <v/>
      </c>
      <c r="E85" s="112" t="n"/>
      <c r="F85" s="76" t="n"/>
      <c r="G85" s="76" t="n"/>
    </row>
    <row r="86" ht="15.75" customHeight="1" s="52">
      <c r="A86" s="108" t="n"/>
      <c r="B86" s="75" t="n"/>
      <c r="C86" s="75" t="n"/>
      <c r="D86" s="109">
        <f t="array" ref="D86:D86">IFERROR(INDEX(GroupLookup,MATCH(C86,CategoryList,0)),"")</f>
        <v/>
      </c>
      <c r="E86" s="110" t="n"/>
      <c r="F86" s="75" t="n"/>
      <c r="G86" s="75" t="n"/>
    </row>
    <row r="87" ht="15.75" customHeight="1" s="52">
      <c r="A87" s="114" t="n"/>
      <c r="B87" s="76" t="n"/>
      <c r="C87" s="76" t="n"/>
      <c r="D87" s="109">
        <f t="array" ref="D87:D87">IFERROR(INDEX(GroupLookup,MATCH(C87,CategoryList,0)),"")</f>
        <v/>
      </c>
      <c r="E87" s="112" t="n"/>
      <c r="F87" s="76" t="n"/>
      <c r="G87" s="76" t="n"/>
    </row>
    <row r="88" ht="15.75" customHeight="1" s="52">
      <c r="A88" s="108" t="n"/>
      <c r="B88" s="75" t="n"/>
      <c r="C88" s="75" t="n"/>
      <c r="D88" s="109">
        <f t="array" ref="D88:D88">IFERROR(INDEX(GroupLookup,MATCH(C88,CategoryList,0)),"")</f>
        <v/>
      </c>
      <c r="E88" s="110" t="n"/>
      <c r="F88" s="75" t="n"/>
      <c r="G88" s="75" t="n"/>
    </row>
    <row r="89" ht="15.75" customHeight="1" s="52">
      <c r="A89" s="114" t="n"/>
      <c r="B89" s="76" t="n"/>
      <c r="C89" s="76" t="n"/>
      <c r="D89" s="109">
        <f t="array" ref="D89:D89">IFERROR(INDEX(GroupLookup,MATCH(C89,CategoryList,0)),"")</f>
        <v/>
      </c>
      <c r="E89" s="112" t="n"/>
      <c r="F89" s="76" t="n"/>
      <c r="G89" s="76" t="n"/>
    </row>
    <row r="90" ht="15.75" customHeight="1" s="52">
      <c r="A90" s="108" t="n"/>
      <c r="B90" s="75" t="n"/>
      <c r="C90" s="75" t="n"/>
      <c r="D90" s="109">
        <f t="array" ref="D90:D90">IFERROR(INDEX(GroupLookup,MATCH(C90,CategoryList,0)),"")</f>
        <v/>
      </c>
      <c r="E90" s="110" t="n"/>
      <c r="F90" s="75" t="n"/>
      <c r="G90" s="75" t="n"/>
    </row>
    <row r="91" ht="15.75" customHeight="1" s="52">
      <c r="A91" s="114" t="n"/>
      <c r="B91" s="76" t="n"/>
      <c r="C91" s="76" t="n"/>
      <c r="D91" s="109">
        <f t="array" ref="D91:D91">IFERROR(INDEX(GroupLookup,MATCH(C91,CategoryList,0)),"")</f>
        <v/>
      </c>
      <c r="E91" s="112" t="n"/>
      <c r="F91" s="76" t="n"/>
      <c r="G91" s="76" t="n"/>
    </row>
    <row r="92" ht="15.75" customHeight="1" s="52">
      <c r="A92" s="108" t="n"/>
      <c r="B92" s="75" t="n"/>
      <c r="C92" s="75" t="n"/>
      <c r="D92" s="109">
        <f t="array" ref="D92:D92">IFERROR(INDEX(GroupLookup,MATCH(C92,CategoryList,0)),"")</f>
        <v/>
      </c>
      <c r="E92" s="110" t="n"/>
      <c r="F92" s="75" t="n"/>
      <c r="G92" s="75" t="n"/>
    </row>
    <row r="93" ht="15.75" customHeight="1" s="52">
      <c r="A93" s="114" t="n"/>
      <c r="B93" s="76" t="n"/>
      <c r="C93" s="76" t="n"/>
      <c r="D93" s="109">
        <f t="array" ref="D93:D93">IFERROR(INDEX(GroupLookup,MATCH(C93,CategoryList,0)),"")</f>
        <v/>
      </c>
      <c r="E93" s="112" t="n"/>
      <c r="F93" s="76" t="n"/>
      <c r="G93" s="76" t="n"/>
    </row>
    <row r="94" ht="15.75" customHeight="1" s="52">
      <c r="A94" s="108" t="n"/>
      <c r="B94" s="75" t="n"/>
      <c r="C94" s="75" t="n"/>
      <c r="D94" s="109">
        <f t="array" ref="D94:D94">IFERROR(INDEX(GroupLookup,MATCH(C94,CategoryList,0)),"")</f>
        <v/>
      </c>
      <c r="E94" s="110" t="n"/>
      <c r="F94" s="75" t="n"/>
      <c r="G94" s="75" t="n"/>
    </row>
    <row r="95" ht="15.75" customHeight="1" s="52">
      <c r="A95" s="114" t="n"/>
      <c r="B95" s="76" t="n"/>
      <c r="C95" s="76" t="n"/>
      <c r="D95" s="109">
        <f t="array" ref="D95:D95">IFERROR(INDEX(GroupLookup,MATCH(C95,CategoryList,0)),"")</f>
        <v/>
      </c>
      <c r="E95" s="112" t="n"/>
      <c r="F95" s="76" t="n"/>
      <c r="G95" s="76" t="n"/>
    </row>
    <row r="96" ht="15.75" customHeight="1" s="52">
      <c r="A96" s="108" t="n"/>
      <c r="B96" s="75" t="n"/>
      <c r="C96" s="75" t="n"/>
      <c r="D96" s="109">
        <f t="array" ref="D96:D96">IFERROR(INDEX(GroupLookup,MATCH(C96,CategoryList,0)),"")</f>
        <v/>
      </c>
      <c r="E96" s="110" t="n"/>
      <c r="F96" s="75" t="n"/>
      <c r="G96" s="75" t="n"/>
    </row>
    <row r="97" ht="15.75" customHeight="1" s="52">
      <c r="A97" s="114" t="n"/>
      <c r="B97" s="76" t="n"/>
      <c r="C97" s="76" t="n"/>
      <c r="D97" s="109">
        <f t="array" ref="D97:D97">IFERROR(INDEX(GroupLookup,MATCH(C97,CategoryList,0)),"")</f>
        <v/>
      </c>
      <c r="E97" s="112" t="n"/>
      <c r="F97" s="76" t="n"/>
      <c r="G97" s="76" t="n"/>
    </row>
    <row r="98" ht="15.75" customHeight="1" s="52">
      <c r="A98" s="108" t="n"/>
      <c r="B98" s="75" t="n"/>
      <c r="C98" s="75" t="n"/>
      <c r="D98" s="109">
        <f t="array" ref="D98:D98">IFERROR(INDEX(GroupLookup,MATCH(C98,CategoryList,0)),"")</f>
        <v/>
      </c>
      <c r="E98" s="110" t="n"/>
      <c r="F98" s="75" t="n"/>
      <c r="G98" s="75" t="n"/>
    </row>
    <row r="99" ht="15.75" customHeight="1" s="52">
      <c r="A99" s="114" t="n"/>
      <c r="B99" s="76" t="n"/>
      <c r="C99" s="76" t="n"/>
      <c r="D99" s="109">
        <f t="array" ref="D99:D99">IFERROR(INDEX(GroupLookup,MATCH(C99,CategoryList,0)),"")</f>
        <v/>
      </c>
      <c r="E99" s="112" t="n"/>
      <c r="F99" s="76" t="n"/>
      <c r="G99" s="76" t="n"/>
    </row>
    <row r="100" ht="15.75" customHeight="1" s="52">
      <c r="A100" s="108" t="n"/>
      <c r="B100" s="75" t="n"/>
      <c r="C100" s="75" t="n"/>
      <c r="D100" s="109">
        <f t="array" ref="D100:D100">IFERROR(INDEX(GroupLookup,MATCH(C100,CategoryList,0)),"")</f>
        <v/>
      </c>
      <c r="E100" s="110" t="n"/>
      <c r="F100" s="75" t="n"/>
      <c r="G100" s="75" t="n"/>
    </row>
    <row r="101" ht="15.75" customHeight="1" s="52">
      <c r="A101" s="114" t="n"/>
      <c r="B101" s="76" t="n"/>
      <c r="C101" s="76" t="n"/>
      <c r="D101" s="109">
        <f t="array" ref="D101:D101">IFERROR(INDEX(GroupLookup,MATCH(C101,CategoryList,0)),"")</f>
        <v/>
      </c>
      <c r="E101" s="112" t="n"/>
      <c r="F101" s="76" t="n"/>
      <c r="G101" s="76" t="n"/>
    </row>
    <row r="102" ht="15.75" customHeight="1" s="52">
      <c r="A102" s="108" t="n"/>
      <c r="B102" s="75" t="n"/>
      <c r="C102" s="75" t="n"/>
      <c r="D102" s="109">
        <f t="array" ref="D102:D102">IFERROR(INDEX(GroupLookup,MATCH(C102,CategoryList,0)),"")</f>
        <v/>
      </c>
      <c r="E102" s="110" t="n"/>
      <c r="F102" s="75" t="n"/>
      <c r="G102" s="75" t="n"/>
    </row>
    <row r="103" ht="15.75" customHeight="1" s="52">
      <c r="A103" s="114" t="n"/>
      <c r="B103" s="76" t="n"/>
      <c r="C103" s="76" t="n"/>
      <c r="D103" s="109">
        <f t="array" ref="D103:D103">IFERROR(INDEX(GroupLookup,MATCH(C103,CategoryList,0)),"")</f>
        <v/>
      </c>
      <c r="E103" s="112" t="n"/>
      <c r="F103" s="76" t="n"/>
      <c r="G103" s="76" t="n"/>
    </row>
    <row r="104" ht="15.75" customHeight="1" s="52">
      <c r="A104" s="108" t="n"/>
      <c r="B104" s="75" t="n"/>
      <c r="C104" s="75" t="n"/>
      <c r="D104" s="109">
        <f t="array" ref="D104:D104">IFERROR(INDEX(GroupLookup,MATCH(C104,CategoryList,0)),"")</f>
        <v/>
      </c>
      <c r="E104" s="110" t="n"/>
      <c r="F104" s="75" t="n"/>
      <c r="G104" s="75" t="n"/>
    </row>
    <row r="105" ht="15.75" customHeight="1" s="52">
      <c r="A105" s="114" t="n"/>
      <c r="B105" s="76" t="n"/>
      <c r="C105" s="76" t="n"/>
      <c r="D105" s="109">
        <f t="array" ref="D105:D105">IFERROR(INDEX(GroupLookup,MATCH(C105,CategoryList,0)),"")</f>
        <v/>
      </c>
      <c r="E105" s="112" t="n"/>
      <c r="F105" s="76" t="n"/>
      <c r="G105" s="76" t="n"/>
    </row>
    <row r="106" ht="15.75" customHeight="1" s="52">
      <c r="A106" s="108" t="n"/>
      <c r="B106" s="75" t="n"/>
      <c r="C106" s="75" t="n"/>
      <c r="D106" s="109">
        <f t="array" ref="D106:D106">IFERROR(INDEX(GroupLookup,MATCH(C106,CategoryList,0)),"")</f>
        <v/>
      </c>
      <c r="E106" s="110" t="n"/>
      <c r="F106" s="75" t="n"/>
      <c r="G106" s="75" t="n"/>
    </row>
    <row r="107" ht="15.75" customHeight="1" s="52">
      <c r="A107" s="114" t="n"/>
      <c r="B107" s="76" t="n"/>
      <c r="C107" s="76" t="n"/>
      <c r="D107" s="109">
        <f t="array" ref="D107:D107">IFERROR(INDEX(GroupLookup,MATCH(C107,CategoryList,0)),"")</f>
        <v/>
      </c>
      <c r="E107" s="112" t="n"/>
      <c r="F107" s="76" t="n"/>
      <c r="G107" s="76" t="n"/>
    </row>
    <row r="108" ht="15.75" customHeight="1" s="52">
      <c r="A108" s="108" t="n"/>
      <c r="B108" s="75" t="n"/>
      <c r="C108" s="75" t="n"/>
      <c r="D108" s="109">
        <f t="array" ref="D108:D108">IFERROR(INDEX(GroupLookup,MATCH(C108,CategoryList,0)),"")</f>
        <v/>
      </c>
      <c r="E108" s="110" t="n"/>
      <c r="F108" s="75" t="n"/>
      <c r="G108" s="75" t="n"/>
    </row>
    <row r="109" ht="15.75" customHeight="1" s="52">
      <c r="A109" s="114" t="n"/>
      <c r="B109" s="76" t="n"/>
      <c r="C109" s="76" t="n"/>
      <c r="D109" s="109">
        <f t="array" ref="D109:D109">IFERROR(INDEX(GroupLookup,MATCH(C109,CategoryList,0)),"")</f>
        <v/>
      </c>
      <c r="E109" s="112" t="n"/>
      <c r="F109" s="76" t="n"/>
      <c r="G109" s="76" t="n"/>
    </row>
    <row r="110" ht="15.75" customHeight="1" s="52">
      <c r="A110" s="108" t="n"/>
      <c r="B110" s="75" t="n"/>
      <c r="C110" s="75" t="n"/>
      <c r="D110" s="109">
        <f t="array" ref="D110:D110">IFERROR(INDEX(GroupLookup,MATCH(C110,CategoryList,0)),"")</f>
        <v/>
      </c>
      <c r="E110" s="110" t="n"/>
      <c r="F110" s="75" t="n"/>
      <c r="G110" s="75" t="n"/>
    </row>
    <row r="111" ht="15.75" customHeight="1" s="52">
      <c r="A111" s="114" t="n"/>
      <c r="B111" s="76" t="n"/>
      <c r="C111" s="76" t="n"/>
      <c r="D111" s="109">
        <f t="array" ref="D111:D111">IFERROR(INDEX(GroupLookup,MATCH(C111,CategoryList,0)),"")</f>
        <v/>
      </c>
      <c r="E111" s="112" t="n"/>
      <c r="F111" s="76" t="n"/>
      <c r="G111" s="76" t="n"/>
    </row>
    <row r="112" ht="15.75" customHeight="1" s="52">
      <c r="A112" s="108" t="n"/>
      <c r="B112" s="75" t="n"/>
      <c r="C112" s="75" t="n"/>
      <c r="D112" s="109">
        <f t="array" ref="D112:D112">IFERROR(INDEX(GroupLookup,MATCH(C112,CategoryList,0)),"")</f>
        <v/>
      </c>
      <c r="E112" s="110" t="n"/>
      <c r="F112" s="75" t="n"/>
      <c r="G112" s="75" t="n"/>
    </row>
    <row r="113" ht="15.75" customHeight="1" s="52">
      <c r="A113" s="114" t="n"/>
      <c r="B113" s="76" t="n"/>
      <c r="C113" s="76" t="n"/>
      <c r="D113" s="109">
        <f t="array" ref="D113:D113">IFERROR(INDEX(GroupLookup,MATCH(C113,CategoryList,0)),"")</f>
        <v/>
      </c>
      <c r="E113" s="112" t="n"/>
      <c r="F113" s="76" t="n"/>
      <c r="G113" s="76" t="n"/>
    </row>
    <row r="114" ht="15.75" customHeight="1" s="52">
      <c r="A114" s="108" t="n"/>
      <c r="B114" s="75" t="n"/>
      <c r="C114" s="75" t="n"/>
      <c r="D114" s="109">
        <f t="array" ref="D114:D114">IFERROR(INDEX(GroupLookup,MATCH(C114,CategoryList,0)),"")</f>
        <v/>
      </c>
      <c r="E114" s="110" t="n"/>
      <c r="F114" s="75" t="n"/>
      <c r="G114" s="75" t="n"/>
    </row>
    <row r="115" ht="15.75" customHeight="1" s="52">
      <c r="A115" s="114" t="n"/>
      <c r="B115" s="76" t="n"/>
      <c r="C115" s="76" t="n"/>
      <c r="D115" s="109">
        <f t="array" ref="D115:D115">IFERROR(INDEX(GroupLookup,MATCH(C115,CategoryList,0)),"")</f>
        <v/>
      </c>
      <c r="E115" s="112" t="n"/>
      <c r="F115" s="76" t="n"/>
      <c r="G115" s="76" t="n"/>
    </row>
    <row r="116" ht="15.75" customHeight="1" s="52">
      <c r="A116" s="108" t="n"/>
      <c r="B116" s="75" t="n"/>
      <c r="C116" s="75" t="n"/>
      <c r="D116" s="109">
        <f t="array" ref="D116:D116">IFERROR(INDEX(GroupLookup,MATCH(C116,CategoryList,0)),"")</f>
        <v/>
      </c>
      <c r="E116" s="110" t="n"/>
      <c r="F116" s="75" t="n"/>
      <c r="G116" s="75" t="n"/>
    </row>
    <row r="117" ht="15.75" customHeight="1" s="52">
      <c r="A117" s="114" t="n"/>
      <c r="B117" s="76" t="n"/>
      <c r="C117" s="76" t="n"/>
      <c r="D117" s="109">
        <f t="array" ref="D117:D117">IFERROR(INDEX(GroupLookup,MATCH(C117,CategoryList,0)),"")</f>
        <v/>
      </c>
      <c r="E117" s="112" t="n"/>
      <c r="F117" s="76" t="n"/>
      <c r="G117" s="76" t="n"/>
    </row>
    <row r="118" ht="15.75" customHeight="1" s="52">
      <c r="A118" s="108" t="n"/>
      <c r="B118" s="75" t="n"/>
      <c r="C118" s="75" t="n"/>
      <c r="D118" s="109">
        <f t="array" ref="D118:D118">IFERROR(INDEX(GroupLookup,MATCH(C118,CategoryList,0)),"")</f>
        <v/>
      </c>
      <c r="E118" s="110" t="n"/>
      <c r="F118" s="75" t="n"/>
      <c r="G118" s="75" t="n"/>
    </row>
    <row r="119" ht="15.75" customHeight="1" s="52">
      <c r="A119" s="114" t="n"/>
      <c r="B119" s="76" t="n"/>
      <c r="C119" s="76" t="n"/>
      <c r="D119" s="109">
        <f t="array" ref="D119:D119">IFERROR(INDEX(GroupLookup,MATCH(C119,CategoryList,0)),"")</f>
        <v/>
      </c>
      <c r="E119" s="112" t="n"/>
      <c r="F119" s="76" t="n"/>
      <c r="G119" s="76" t="n"/>
    </row>
    <row r="120" ht="15.75" customHeight="1" s="52">
      <c r="A120" s="108" t="n"/>
      <c r="B120" s="75" t="n"/>
      <c r="C120" s="75" t="n"/>
      <c r="D120" s="109">
        <f t="array" ref="D120:D120">IFERROR(INDEX(GroupLookup,MATCH(C120,CategoryList,0)),"")</f>
        <v/>
      </c>
      <c r="E120" s="110" t="n"/>
      <c r="F120" s="75" t="n"/>
      <c r="G120" s="75" t="n"/>
    </row>
    <row r="121" ht="15.75" customHeight="1" s="52">
      <c r="A121" s="114" t="n"/>
      <c r="B121" s="76" t="n"/>
      <c r="C121" s="76" t="n"/>
      <c r="D121" s="109">
        <f t="array" ref="D121:D121">IFERROR(INDEX(GroupLookup,MATCH(C121,CategoryList,0)),"")</f>
        <v/>
      </c>
      <c r="E121" s="112" t="n"/>
      <c r="F121" s="76" t="n"/>
      <c r="G121" s="76" t="n"/>
    </row>
    <row r="122" ht="15.75" customHeight="1" s="52">
      <c r="A122" s="108" t="n"/>
      <c r="B122" s="75" t="n"/>
      <c r="C122" s="75" t="n"/>
      <c r="D122" s="109">
        <f t="array" ref="D122:D122">IFERROR(INDEX(GroupLookup,MATCH(C122,CategoryList,0)),"")</f>
        <v/>
      </c>
      <c r="E122" s="110" t="n"/>
      <c r="F122" s="75" t="n"/>
      <c r="G122" s="75" t="n"/>
    </row>
    <row r="123" ht="15.75" customHeight="1" s="52">
      <c r="A123" s="114" t="n"/>
      <c r="B123" s="76" t="n"/>
      <c r="C123" s="76" t="n"/>
      <c r="D123" s="109">
        <f t="array" ref="D123:D123">IFERROR(INDEX(GroupLookup,MATCH(C123,CategoryList,0)),"")</f>
        <v/>
      </c>
      <c r="E123" s="112" t="n"/>
      <c r="F123" s="76" t="n"/>
      <c r="G123" s="76" t="n"/>
    </row>
    <row r="124" ht="15.75" customHeight="1" s="52">
      <c r="A124" s="108" t="n"/>
      <c r="B124" s="75" t="n"/>
      <c r="C124" s="75" t="n"/>
      <c r="D124" s="109">
        <f t="array" ref="D124:D124">IFERROR(INDEX(GroupLookup,MATCH(C124,CategoryList,0)),"")</f>
        <v/>
      </c>
      <c r="E124" s="110" t="n"/>
      <c r="F124" s="75" t="n"/>
      <c r="G124" s="75" t="n"/>
    </row>
    <row r="125" ht="15.75" customHeight="1" s="52">
      <c r="A125" s="114" t="n"/>
      <c r="B125" s="76" t="n"/>
      <c r="C125" s="76" t="n"/>
      <c r="D125" s="109">
        <f t="array" ref="D125:D125">IFERROR(INDEX(GroupLookup,MATCH(C125,CategoryList,0)),"")</f>
        <v/>
      </c>
      <c r="E125" s="112" t="n"/>
      <c r="F125" s="76" t="n"/>
      <c r="G125" s="76" t="n"/>
    </row>
    <row r="126" ht="15.75" customHeight="1" s="52">
      <c r="A126" s="108" t="n"/>
      <c r="B126" s="75" t="n"/>
      <c r="C126" s="75" t="n"/>
      <c r="D126" s="109">
        <f t="array" ref="D126:D126">IFERROR(INDEX(GroupLookup,MATCH(C126,CategoryList,0)),"")</f>
        <v/>
      </c>
      <c r="E126" s="110" t="n"/>
      <c r="F126" s="75" t="n"/>
      <c r="G126" s="75" t="n"/>
    </row>
    <row r="127" ht="15.75" customHeight="1" s="52">
      <c r="A127" s="114" t="n"/>
      <c r="B127" s="76" t="n"/>
      <c r="C127" s="76" t="n"/>
      <c r="D127" s="109">
        <f t="array" ref="D127:D127">IFERROR(INDEX(GroupLookup,MATCH(C127,CategoryList,0)),"")</f>
        <v/>
      </c>
      <c r="E127" s="112" t="n"/>
      <c r="F127" s="76" t="n"/>
      <c r="G127" s="76" t="n"/>
    </row>
    <row r="128" ht="15.75" customHeight="1" s="52">
      <c r="A128" s="108" t="n"/>
      <c r="B128" s="75" t="n"/>
      <c r="C128" s="75" t="n"/>
      <c r="D128" s="109">
        <f t="array" ref="D128:D128">IFERROR(INDEX(GroupLookup,MATCH(C128,CategoryList,0)),"")</f>
        <v/>
      </c>
      <c r="E128" s="110" t="n"/>
      <c r="F128" s="75" t="n"/>
      <c r="G128" s="75" t="n"/>
    </row>
    <row r="129" ht="15.75" customHeight="1" s="52">
      <c r="A129" s="114" t="n"/>
      <c r="B129" s="76" t="n"/>
      <c r="C129" s="76" t="n"/>
      <c r="D129" s="109">
        <f t="array" ref="D129:D129">IFERROR(INDEX(GroupLookup,MATCH(C129,CategoryList,0)),"")</f>
        <v/>
      </c>
      <c r="E129" s="112" t="n"/>
      <c r="F129" s="76" t="n"/>
      <c r="G129" s="76" t="n"/>
    </row>
    <row r="130" ht="15.75" customHeight="1" s="52">
      <c r="A130" s="108" t="n"/>
      <c r="B130" s="75" t="n"/>
      <c r="C130" s="75" t="n"/>
      <c r="D130" s="109">
        <f t="array" ref="D130:D130">IFERROR(INDEX(GroupLookup,MATCH(C130,CategoryList,0)),"")</f>
        <v/>
      </c>
      <c r="E130" s="110" t="n"/>
      <c r="F130" s="75" t="n"/>
      <c r="G130" s="75" t="n"/>
    </row>
    <row r="131" ht="15.75" customHeight="1" s="52">
      <c r="A131" s="114" t="n"/>
      <c r="B131" s="76" t="n"/>
      <c r="C131" s="76" t="n"/>
      <c r="D131" s="109">
        <f t="array" ref="D131:D131">IFERROR(INDEX(GroupLookup,MATCH(C131,CategoryList,0)),"")</f>
        <v/>
      </c>
      <c r="E131" s="112" t="n"/>
      <c r="F131" s="76" t="n"/>
      <c r="G131" s="76" t="n"/>
    </row>
    <row r="132" ht="15.75" customHeight="1" s="52">
      <c r="A132" s="108" t="n"/>
      <c r="B132" s="75" t="n"/>
      <c r="C132" s="75" t="n"/>
      <c r="D132" s="109">
        <f t="array" ref="D132:D132">IFERROR(INDEX(GroupLookup,MATCH(C132,CategoryList,0)),"")</f>
        <v/>
      </c>
      <c r="E132" s="110" t="n"/>
      <c r="F132" s="75" t="n"/>
      <c r="G132" s="75" t="n"/>
    </row>
    <row r="133" ht="15.75" customHeight="1" s="52">
      <c r="A133" s="114" t="n"/>
      <c r="B133" s="76" t="n"/>
      <c r="C133" s="76" t="n"/>
      <c r="D133" s="109">
        <f t="array" ref="D133:D133">IFERROR(INDEX(GroupLookup,MATCH(C133,CategoryList,0)),"")</f>
        <v/>
      </c>
      <c r="E133" s="112" t="n"/>
      <c r="F133" s="76" t="n"/>
      <c r="G133" s="76" t="n"/>
    </row>
    <row r="134" ht="15.75" customHeight="1" s="52">
      <c r="A134" s="108" t="n"/>
      <c r="B134" s="75" t="n"/>
      <c r="C134" s="75" t="n"/>
      <c r="D134" s="109">
        <f t="array" ref="D134:D134">IFERROR(INDEX(GroupLookup,MATCH(C134,CategoryList,0)),"")</f>
        <v/>
      </c>
      <c r="E134" s="110" t="n"/>
      <c r="F134" s="75" t="n"/>
      <c r="G134" s="75" t="n"/>
    </row>
    <row r="135" ht="15.75" customHeight="1" s="52">
      <c r="A135" s="114" t="n"/>
      <c r="B135" s="76" t="n"/>
      <c r="C135" s="76" t="n"/>
      <c r="D135" s="109">
        <f t="array" ref="D135:D135">IFERROR(INDEX(GroupLookup,MATCH(C135,CategoryList,0)),"")</f>
        <v/>
      </c>
      <c r="E135" s="112" t="n"/>
      <c r="F135" s="76" t="n"/>
      <c r="G135" s="76" t="n"/>
    </row>
    <row r="136" ht="15.75" customHeight="1" s="52">
      <c r="A136" s="108" t="n"/>
      <c r="B136" s="75" t="n"/>
      <c r="C136" s="75" t="n"/>
      <c r="D136" s="109">
        <f t="array" ref="D136:D136">IFERROR(INDEX(GroupLookup,MATCH(C136,CategoryList,0)),"")</f>
        <v/>
      </c>
      <c r="E136" s="110" t="n"/>
      <c r="F136" s="75" t="n"/>
      <c r="G136" s="75" t="n"/>
    </row>
    <row r="137" ht="15.75" customHeight="1" s="52">
      <c r="A137" s="114" t="n"/>
      <c r="B137" s="76" t="n"/>
      <c r="C137" s="76" t="n"/>
      <c r="D137" s="109">
        <f t="array" ref="D137:D137">IFERROR(INDEX(GroupLookup,MATCH(C137,CategoryList,0)),"")</f>
        <v/>
      </c>
      <c r="E137" s="112" t="n"/>
      <c r="F137" s="76" t="n"/>
      <c r="G137" s="76" t="n"/>
    </row>
    <row r="138" ht="15.75" customHeight="1" s="52">
      <c r="A138" s="108" t="n"/>
      <c r="B138" s="75" t="n"/>
      <c r="C138" s="75" t="n"/>
      <c r="D138" s="109">
        <f t="array" ref="D138:D138">IFERROR(INDEX(GroupLookup,MATCH(C138,CategoryList,0)),"")</f>
        <v/>
      </c>
      <c r="E138" s="110" t="n"/>
      <c r="F138" s="75" t="n"/>
      <c r="G138" s="75" t="n"/>
    </row>
    <row r="139" ht="15.75" customHeight="1" s="52">
      <c r="A139" s="114" t="n"/>
      <c r="B139" s="76" t="n"/>
      <c r="C139" s="76" t="n"/>
      <c r="D139" s="109">
        <f t="array" ref="D139:D139">IFERROR(INDEX(GroupLookup,MATCH(C139,CategoryList,0)),"")</f>
        <v/>
      </c>
      <c r="E139" s="112" t="n"/>
      <c r="F139" s="76" t="n"/>
      <c r="G139" s="76" t="n"/>
    </row>
    <row r="140" ht="15.75" customHeight="1" s="52">
      <c r="A140" s="108" t="n"/>
      <c r="B140" s="75" t="n"/>
      <c r="C140" s="75" t="n"/>
      <c r="D140" s="109">
        <f t="array" ref="D140:D140">IFERROR(INDEX(GroupLookup,MATCH(C140,CategoryList,0)),"")</f>
        <v/>
      </c>
      <c r="E140" s="110" t="n"/>
      <c r="F140" s="75" t="n"/>
      <c r="G140" s="75" t="n"/>
    </row>
    <row r="141" ht="15.75" customHeight="1" s="52">
      <c r="A141" s="114" t="n"/>
      <c r="B141" s="76" t="n"/>
      <c r="C141" s="76" t="n"/>
      <c r="D141" s="109">
        <f t="array" ref="D141:D141">IFERROR(INDEX(GroupLookup,MATCH(C141,CategoryList,0)),"")</f>
        <v/>
      </c>
      <c r="E141" s="112" t="n"/>
      <c r="F141" s="76" t="n"/>
      <c r="G141" s="76" t="n"/>
    </row>
    <row r="142" ht="15.75" customHeight="1" s="52">
      <c r="A142" s="108" t="n"/>
      <c r="B142" s="75" t="n"/>
      <c r="C142" s="75" t="n"/>
      <c r="D142" s="109">
        <f t="array" ref="D142:D142">IFERROR(INDEX(GroupLookup,MATCH(C142,CategoryList,0)),"")</f>
        <v/>
      </c>
      <c r="E142" s="110" t="n"/>
      <c r="F142" s="75" t="n"/>
      <c r="G142" s="75" t="n"/>
    </row>
    <row r="143" ht="15.75" customHeight="1" s="52">
      <c r="A143" s="114" t="n"/>
      <c r="B143" s="76" t="n"/>
      <c r="C143" s="76" t="n"/>
      <c r="D143" s="109">
        <f t="array" ref="D143:D143">IFERROR(INDEX(GroupLookup,MATCH(C143,CategoryList,0)),"")</f>
        <v/>
      </c>
      <c r="E143" s="112" t="n"/>
      <c r="F143" s="76" t="n"/>
      <c r="G143" s="76" t="n"/>
    </row>
    <row r="144" ht="15.75" customHeight="1" s="52">
      <c r="A144" s="108" t="n"/>
      <c r="B144" s="75" t="n"/>
      <c r="C144" s="75" t="n"/>
      <c r="D144" s="109">
        <f t="array" ref="D144:D144">IFERROR(INDEX(GroupLookup,MATCH(C144,CategoryList,0)),"")</f>
        <v/>
      </c>
      <c r="E144" s="110" t="n"/>
      <c r="F144" s="75" t="n"/>
      <c r="G144" s="75" t="n"/>
    </row>
    <row r="145" ht="15.75" customHeight="1" s="52">
      <c r="A145" s="114" t="n"/>
      <c r="B145" s="76" t="n"/>
      <c r="C145" s="76" t="n"/>
      <c r="D145" s="109">
        <f t="array" ref="D145:D145">IFERROR(INDEX(GroupLookup,MATCH(C145,CategoryList,0)),"")</f>
        <v/>
      </c>
      <c r="E145" s="112" t="n"/>
      <c r="F145" s="76" t="n"/>
      <c r="G145" s="76" t="n"/>
    </row>
    <row r="146" ht="15.75" customHeight="1" s="52">
      <c r="A146" s="108" t="n"/>
      <c r="B146" s="75" t="n"/>
      <c r="C146" s="75" t="n"/>
      <c r="D146" s="109">
        <f t="array" ref="D146:D146">IFERROR(INDEX(GroupLookup,MATCH(C146,CategoryList,0)),"")</f>
        <v/>
      </c>
      <c r="E146" s="110" t="n"/>
      <c r="F146" s="75" t="n"/>
      <c r="G146" s="75" t="n"/>
    </row>
    <row r="147" ht="15.75" customHeight="1" s="52">
      <c r="A147" s="114" t="n"/>
      <c r="B147" s="76" t="n"/>
      <c r="C147" s="76" t="n"/>
      <c r="D147" s="109">
        <f t="array" ref="D147:D147">IFERROR(INDEX(GroupLookup,MATCH(C147,CategoryList,0)),"")</f>
        <v/>
      </c>
      <c r="E147" s="112" t="n"/>
      <c r="F147" s="76" t="n"/>
      <c r="G147" s="76" t="n"/>
    </row>
    <row r="148" ht="15.75" customHeight="1" s="52">
      <c r="A148" s="108" t="n"/>
      <c r="B148" s="75" t="n"/>
      <c r="C148" s="75" t="n"/>
      <c r="D148" s="109">
        <f t="array" ref="D148:D148">IFERROR(INDEX(GroupLookup,MATCH(C148,CategoryList,0)),"")</f>
        <v/>
      </c>
      <c r="E148" s="110" t="n"/>
      <c r="F148" s="75" t="n"/>
      <c r="G148" s="75" t="n"/>
    </row>
    <row r="149" ht="15.75" customHeight="1" s="52">
      <c r="A149" s="114" t="n"/>
      <c r="B149" s="76" t="n"/>
      <c r="C149" s="76" t="n"/>
      <c r="D149" s="109">
        <f t="array" ref="D149:D149">IFERROR(INDEX(GroupLookup,MATCH(C149,CategoryList,0)),"")</f>
        <v/>
      </c>
      <c r="E149" s="112" t="n"/>
      <c r="F149" s="76" t="n"/>
      <c r="G149" s="76" t="n"/>
    </row>
    <row r="150" ht="15.75" customHeight="1" s="52">
      <c r="A150" s="108" t="n"/>
      <c r="B150" s="75" t="n"/>
      <c r="C150" s="75" t="n"/>
      <c r="D150" s="109">
        <f t="array" ref="D150:D150">IFERROR(INDEX(GroupLookup,MATCH(C150,CategoryList,0)),"")</f>
        <v/>
      </c>
      <c r="E150" s="110" t="n"/>
      <c r="F150" s="75" t="n"/>
      <c r="G150" s="75" t="n"/>
    </row>
    <row r="151" ht="15.75" customHeight="1" s="52">
      <c r="A151" s="114" t="n"/>
      <c r="B151" s="76" t="n"/>
      <c r="C151" s="76" t="n"/>
      <c r="D151" s="109">
        <f t="array" ref="D151:D151">IFERROR(INDEX(GroupLookup,MATCH(C151,CategoryList,0)),"")</f>
        <v/>
      </c>
      <c r="E151" s="112" t="n"/>
      <c r="F151" s="76" t="n"/>
      <c r="G151" s="76" t="n"/>
    </row>
    <row r="152" ht="15.75" customHeight="1" s="52">
      <c r="A152" s="108" t="n"/>
      <c r="B152" s="75" t="n"/>
      <c r="C152" s="75" t="n"/>
      <c r="D152" s="109">
        <f t="array" ref="D152:D152">IFERROR(INDEX(GroupLookup,MATCH(C152,CategoryList,0)),"")</f>
        <v/>
      </c>
      <c r="E152" s="110" t="n"/>
      <c r="F152" s="75" t="n"/>
      <c r="G152" s="75" t="n"/>
    </row>
    <row r="153" ht="15.75" customHeight="1" s="52">
      <c r="A153" s="114" t="n"/>
      <c r="B153" s="76" t="n"/>
      <c r="C153" s="76" t="n"/>
      <c r="D153" s="109">
        <f t="array" ref="D153:D153">IFERROR(INDEX(GroupLookup,MATCH(C153,CategoryList,0)),"")</f>
        <v/>
      </c>
      <c r="E153" s="112" t="n"/>
      <c r="F153" s="76" t="n"/>
      <c r="G153" s="76" t="n"/>
    </row>
    <row r="154" ht="15.75" customHeight="1" s="52">
      <c r="A154" s="108" t="n"/>
      <c r="B154" s="75" t="n"/>
      <c r="C154" s="75" t="n"/>
      <c r="D154" s="109">
        <f t="array" ref="D154:D154">IFERROR(INDEX(GroupLookup,MATCH(C154,CategoryList,0)),"")</f>
        <v/>
      </c>
      <c r="E154" s="110" t="n"/>
      <c r="F154" s="75" t="n"/>
      <c r="G154" s="75" t="n"/>
    </row>
    <row r="155" ht="15.75" customHeight="1" s="52">
      <c r="A155" s="114" t="n"/>
      <c r="B155" s="76" t="n"/>
      <c r="C155" s="76" t="n"/>
      <c r="D155" s="109">
        <f t="array" ref="D155:D155">IFERROR(INDEX(GroupLookup,MATCH(C155,CategoryList,0)),"")</f>
        <v/>
      </c>
      <c r="E155" s="112" t="n"/>
      <c r="F155" s="76" t="n"/>
      <c r="G155" s="76" t="n"/>
    </row>
    <row r="156" ht="15.75" customHeight="1" s="52">
      <c r="A156" s="108" t="n"/>
      <c r="B156" s="75" t="n"/>
      <c r="C156" s="75" t="n"/>
      <c r="D156" s="109">
        <f t="array" ref="D156:D156">IFERROR(INDEX(GroupLookup,MATCH(C156,CategoryList,0)),"")</f>
        <v/>
      </c>
      <c r="E156" s="110" t="n"/>
      <c r="F156" s="75" t="n"/>
      <c r="G156" s="75" t="n"/>
    </row>
    <row r="157" ht="15.75" customHeight="1" s="52">
      <c r="A157" s="114" t="n"/>
      <c r="B157" s="76" t="n"/>
      <c r="C157" s="76" t="n"/>
      <c r="D157" s="109">
        <f t="array" ref="D157:D157">IFERROR(INDEX(GroupLookup,MATCH(C157,CategoryList,0)),"")</f>
        <v/>
      </c>
      <c r="E157" s="112" t="n"/>
      <c r="F157" s="76" t="n"/>
      <c r="G157" s="76" t="n"/>
    </row>
    <row r="158" ht="15.75" customHeight="1" s="52">
      <c r="A158" s="108" t="n"/>
      <c r="B158" s="75" t="n"/>
      <c r="C158" s="75" t="n"/>
      <c r="D158" s="109">
        <f t="array" ref="D158:D158">IFERROR(INDEX(GroupLookup,MATCH(C158,CategoryList,0)),"")</f>
        <v/>
      </c>
      <c r="E158" s="110" t="n"/>
      <c r="F158" s="75" t="n"/>
      <c r="G158" s="75" t="n"/>
    </row>
    <row r="159" ht="15.75" customHeight="1" s="52">
      <c r="A159" s="114" t="n"/>
      <c r="B159" s="76" t="n"/>
      <c r="C159" s="76" t="n"/>
      <c r="D159" s="109">
        <f t="array" ref="D159:D159">IFERROR(INDEX(GroupLookup,MATCH(C159,CategoryList,0)),"")</f>
        <v/>
      </c>
      <c r="E159" s="112" t="n"/>
      <c r="F159" s="76" t="n"/>
      <c r="G159" s="76" t="n"/>
    </row>
    <row r="160" ht="15.75" customHeight="1" s="52">
      <c r="A160" s="108" t="n"/>
      <c r="B160" s="75" t="n"/>
      <c r="C160" s="75" t="n"/>
      <c r="D160" s="109">
        <f t="array" ref="D160:D160">IFERROR(INDEX(GroupLookup,MATCH(C160,CategoryList,0)),"")</f>
        <v/>
      </c>
      <c r="E160" s="110" t="n"/>
      <c r="F160" s="75" t="n"/>
      <c r="G160" s="75" t="n"/>
    </row>
    <row r="161" ht="15.75" customHeight="1" s="52">
      <c r="A161" s="114" t="n"/>
      <c r="B161" s="76" t="n"/>
      <c r="C161" s="76" t="n"/>
      <c r="D161" s="109">
        <f t="array" ref="D161:D161">IFERROR(INDEX(GroupLookup,MATCH(C161,CategoryList,0)),"")</f>
        <v/>
      </c>
      <c r="E161" s="112" t="n"/>
      <c r="F161" s="76" t="n"/>
      <c r="G161" s="76" t="n"/>
    </row>
    <row r="162" ht="15.75" customHeight="1" s="52">
      <c r="A162" s="108" t="n"/>
      <c r="B162" s="75" t="n"/>
      <c r="C162" s="75" t="n"/>
      <c r="D162" s="109">
        <f t="array" ref="D162:D162">IFERROR(INDEX(GroupLookup,MATCH(C162,CategoryList,0)),"")</f>
        <v/>
      </c>
      <c r="E162" s="110" t="n"/>
      <c r="F162" s="75" t="n"/>
      <c r="G162" s="75" t="n"/>
    </row>
    <row r="163" ht="15.75" customHeight="1" s="52">
      <c r="A163" s="114" t="n"/>
      <c r="B163" s="76" t="n"/>
      <c r="C163" s="76" t="n"/>
      <c r="D163" s="109">
        <f t="array" ref="D163:D163">IFERROR(INDEX(GroupLookup,MATCH(C163,CategoryList,0)),"")</f>
        <v/>
      </c>
      <c r="E163" s="112" t="n"/>
      <c r="F163" s="76" t="n"/>
      <c r="G163" s="76" t="n"/>
    </row>
    <row r="164" ht="15.75" customHeight="1" s="52">
      <c r="A164" s="108" t="n"/>
      <c r="B164" s="75" t="n"/>
      <c r="C164" s="75" t="n"/>
      <c r="D164" s="109">
        <f t="array" ref="D164:D164">IFERROR(INDEX(GroupLookup,MATCH(C164,CategoryList,0)),"")</f>
        <v/>
      </c>
      <c r="E164" s="110" t="n"/>
      <c r="F164" s="75" t="n"/>
      <c r="G164" s="75" t="n"/>
    </row>
    <row r="165" ht="15.75" customHeight="1" s="52">
      <c r="A165" s="114" t="n"/>
      <c r="B165" s="76" t="n"/>
      <c r="C165" s="76" t="n"/>
      <c r="D165" s="109">
        <f t="array" ref="D165:D165">IFERROR(INDEX(GroupLookup,MATCH(C165,CategoryList,0)),"")</f>
        <v/>
      </c>
      <c r="E165" s="112" t="n"/>
      <c r="F165" s="76" t="n"/>
      <c r="G165" s="76" t="n"/>
    </row>
    <row r="166" ht="15.75" customHeight="1" s="52">
      <c r="A166" s="108" t="n"/>
      <c r="B166" s="75" t="n"/>
      <c r="C166" s="75" t="n"/>
      <c r="D166" s="109">
        <f t="array" ref="D166:D166">IFERROR(INDEX(GroupLookup,MATCH(C166,CategoryList,0)),"")</f>
        <v/>
      </c>
      <c r="E166" s="110" t="n"/>
      <c r="F166" s="75" t="n"/>
      <c r="G166" s="75" t="n"/>
    </row>
    <row r="167" ht="15.75" customHeight="1" s="52">
      <c r="A167" s="114" t="n"/>
      <c r="B167" s="76" t="n"/>
      <c r="C167" s="76" t="n"/>
      <c r="D167" s="109">
        <f t="array" ref="D167:D167">IFERROR(INDEX(GroupLookup,MATCH(C167,CategoryList,0)),"")</f>
        <v/>
      </c>
      <c r="E167" s="112" t="n"/>
      <c r="F167" s="76" t="n"/>
      <c r="G167" s="76" t="n"/>
    </row>
    <row r="168" ht="15.75" customHeight="1" s="52">
      <c r="A168" s="108" t="n"/>
      <c r="B168" s="75" t="n"/>
      <c r="C168" s="75" t="n"/>
      <c r="D168" s="109">
        <f t="array" ref="D168:D168">IFERROR(INDEX(GroupLookup,MATCH(C168,CategoryList,0)),"")</f>
        <v/>
      </c>
      <c r="E168" s="110" t="n"/>
      <c r="F168" s="75" t="n"/>
      <c r="G168" s="75" t="n"/>
    </row>
    <row r="169" ht="15.75" customHeight="1" s="52">
      <c r="A169" s="114" t="n"/>
      <c r="B169" s="76" t="n"/>
      <c r="C169" s="76" t="n"/>
      <c r="D169" s="109">
        <f t="array" ref="D169:D169">IFERROR(INDEX(GroupLookup,MATCH(C169,CategoryList,0)),"")</f>
        <v/>
      </c>
      <c r="E169" s="112" t="n"/>
      <c r="F169" s="76" t="n"/>
      <c r="G169" s="76" t="n"/>
    </row>
    <row r="170" ht="15.75" customHeight="1" s="52">
      <c r="A170" s="108" t="n"/>
      <c r="B170" s="75" t="n"/>
      <c r="C170" s="75" t="n"/>
      <c r="D170" s="109">
        <f t="array" ref="D170:D170">IFERROR(INDEX(GroupLookup,MATCH(C170,CategoryList,0)),"")</f>
        <v/>
      </c>
      <c r="E170" s="110" t="n"/>
      <c r="F170" s="75" t="n"/>
      <c r="G170" s="75" t="n"/>
    </row>
    <row r="171" ht="15.75" customHeight="1" s="52">
      <c r="A171" s="114" t="n"/>
      <c r="B171" s="76" t="n"/>
      <c r="C171" s="76" t="n"/>
      <c r="D171" s="109">
        <f t="array" ref="D171:D171">IFERROR(INDEX(GroupLookup,MATCH(C171,CategoryList,0)),"")</f>
        <v/>
      </c>
      <c r="E171" s="112" t="n"/>
      <c r="F171" s="76" t="n"/>
      <c r="G171" s="76" t="n"/>
    </row>
    <row r="172" ht="15.75" customHeight="1" s="52">
      <c r="A172" s="108" t="n"/>
      <c r="B172" s="75" t="n"/>
      <c r="C172" s="75" t="n"/>
      <c r="D172" s="109">
        <f t="array" ref="D172:D172">IFERROR(INDEX(GroupLookup,MATCH(C172,CategoryList,0)),"")</f>
        <v/>
      </c>
      <c r="E172" s="110" t="n"/>
      <c r="F172" s="75" t="n"/>
      <c r="G172" s="75" t="n"/>
    </row>
    <row r="173" ht="15.75" customHeight="1" s="52">
      <c r="A173" s="114" t="n"/>
      <c r="B173" s="76" t="n"/>
      <c r="C173" s="76" t="n"/>
      <c r="D173" s="109">
        <f t="array" ref="D173:D173">IFERROR(INDEX(GroupLookup,MATCH(C173,CategoryList,0)),"")</f>
        <v/>
      </c>
      <c r="E173" s="112" t="n"/>
      <c r="F173" s="76" t="n"/>
      <c r="G173" s="76" t="n"/>
    </row>
    <row r="174" ht="15.75" customHeight="1" s="52">
      <c r="A174" s="108" t="n"/>
      <c r="B174" s="75" t="n"/>
      <c r="C174" s="75" t="n"/>
      <c r="D174" s="109">
        <f t="array" ref="D174:D174">IFERROR(INDEX(GroupLookup,MATCH(C174,CategoryList,0)),"")</f>
        <v/>
      </c>
      <c r="E174" s="110" t="n"/>
      <c r="F174" s="75" t="n"/>
      <c r="G174" s="75" t="n"/>
    </row>
    <row r="175" ht="15.75" customHeight="1" s="52">
      <c r="A175" s="114" t="n"/>
      <c r="B175" s="76" t="n"/>
      <c r="C175" s="76" t="n"/>
      <c r="D175" s="109">
        <f t="array" ref="D175:D175">IFERROR(INDEX(GroupLookup,MATCH(C175,CategoryList,0)),"")</f>
        <v/>
      </c>
      <c r="E175" s="112" t="n"/>
      <c r="F175" s="76" t="n"/>
      <c r="G175" s="76" t="n"/>
    </row>
    <row r="176" ht="15.75" customHeight="1" s="52">
      <c r="A176" s="108" t="n"/>
      <c r="B176" s="75" t="n"/>
      <c r="C176" s="75" t="n"/>
      <c r="D176" s="109">
        <f t="array" ref="D176:D176">IFERROR(INDEX(GroupLookup,MATCH(C176,CategoryList,0)),"")</f>
        <v/>
      </c>
      <c r="E176" s="110" t="n"/>
      <c r="F176" s="75" t="n"/>
      <c r="G176" s="75" t="n"/>
    </row>
    <row r="177" ht="15.75" customHeight="1" s="52">
      <c r="A177" s="114" t="n"/>
      <c r="B177" s="76" t="n"/>
      <c r="C177" s="76" t="n"/>
      <c r="D177" s="109">
        <f t="array" ref="D177:D177">IFERROR(INDEX(GroupLookup,MATCH(C177,CategoryList,0)),"")</f>
        <v/>
      </c>
      <c r="E177" s="112" t="n"/>
      <c r="F177" s="76" t="n"/>
      <c r="G177" s="76" t="n"/>
    </row>
    <row r="178" ht="15.75" customHeight="1" s="52">
      <c r="A178" s="108" t="n"/>
      <c r="B178" s="75" t="n"/>
      <c r="C178" s="75" t="n"/>
      <c r="D178" s="109">
        <f t="array" ref="D178:D178">IFERROR(INDEX(GroupLookup,MATCH(C178,CategoryList,0)),"")</f>
        <v/>
      </c>
      <c r="E178" s="110" t="n"/>
      <c r="F178" s="75" t="n"/>
      <c r="G178" s="75" t="n"/>
    </row>
    <row r="179" ht="15.75" customHeight="1" s="52">
      <c r="A179" s="114" t="n"/>
      <c r="B179" s="76" t="n"/>
      <c r="C179" s="76" t="n"/>
      <c r="D179" s="109">
        <f t="array" ref="D179:D179">IFERROR(INDEX(GroupLookup,MATCH(C179,CategoryList,0)),"")</f>
        <v/>
      </c>
      <c r="E179" s="112" t="n"/>
      <c r="F179" s="76" t="n"/>
      <c r="G179" s="76" t="n"/>
    </row>
    <row r="180" ht="15.75" customHeight="1" s="52">
      <c r="A180" s="108" t="n"/>
      <c r="B180" s="75" t="n"/>
      <c r="C180" s="75" t="n"/>
      <c r="D180" s="109">
        <f t="array" ref="D180:D180">IFERROR(INDEX(GroupLookup,MATCH(C180,CategoryList,0)),"")</f>
        <v/>
      </c>
      <c r="E180" s="110" t="n"/>
      <c r="F180" s="75" t="n"/>
      <c r="G180" s="75" t="n"/>
    </row>
    <row r="181" ht="15.75" customHeight="1" s="52">
      <c r="A181" s="114" t="n"/>
      <c r="B181" s="76" t="n"/>
      <c r="C181" s="76" t="n"/>
      <c r="D181" s="109">
        <f t="array" ref="D181:D181">IFERROR(INDEX(GroupLookup,MATCH(C181,CategoryList,0)),"")</f>
        <v/>
      </c>
      <c r="E181" s="112" t="n"/>
      <c r="F181" s="76" t="n"/>
      <c r="G181" s="76" t="n"/>
    </row>
    <row r="182" ht="15.75" customHeight="1" s="52">
      <c r="A182" s="108" t="n"/>
      <c r="B182" s="75" t="n"/>
      <c r="C182" s="75" t="n"/>
      <c r="D182" s="109">
        <f t="array" ref="D182:D182">IFERROR(INDEX(GroupLookup,MATCH(C182,CategoryList,0)),"")</f>
        <v/>
      </c>
      <c r="E182" s="110" t="n"/>
      <c r="F182" s="75" t="n"/>
      <c r="G182" s="75" t="n"/>
    </row>
    <row r="183" ht="15.75" customHeight="1" s="52">
      <c r="A183" s="114" t="n"/>
      <c r="B183" s="76" t="n"/>
      <c r="C183" s="76" t="n"/>
      <c r="D183" s="109">
        <f t="array" ref="D183:D183">IFERROR(INDEX(GroupLookup,MATCH(C183,CategoryList,0)),"")</f>
        <v/>
      </c>
      <c r="E183" s="112" t="n"/>
      <c r="F183" s="76" t="n"/>
      <c r="G183" s="76" t="n"/>
    </row>
    <row r="184" ht="15.75" customHeight="1" s="52">
      <c r="A184" s="108" t="n"/>
      <c r="B184" s="75" t="n"/>
      <c r="C184" s="75" t="n"/>
      <c r="D184" s="109">
        <f t="array" ref="D184:D184">IFERROR(INDEX(GroupLookup,MATCH(C184,CategoryList,0)),"")</f>
        <v/>
      </c>
      <c r="E184" s="110" t="n"/>
      <c r="F184" s="75" t="n"/>
      <c r="G184" s="75" t="n"/>
    </row>
    <row r="185" ht="15.75" customHeight="1" s="52">
      <c r="A185" s="114" t="n"/>
      <c r="B185" s="76" t="n"/>
      <c r="C185" s="76" t="n"/>
      <c r="D185" s="109">
        <f t="array" ref="D185:D185">IFERROR(INDEX(GroupLookup,MATCH(C185,CategoryList,0)),"")</f>
        <v/>
      </c>
      <c r="E185" s="112" t="n"/>
      <c r="F185" s="76" t="n"/>
      <c r="G185" s="76" t="n"/>
    </row>
    <row r="186" ht="15.75" customHeight="1" s="52">
      <c r="A186" s="108" t="n"/>
      <c r="B186" s="75" t="n"/>
      <c r="C186" s="75" t="n"/>
      <c r="D186" s="109">
        <f t="array" ref="D186:D186">IFERROR(INDEX(GroupLookup,MATCH(C186,CategoryList,0)),"")</f>
        <v/>
      </c>
      <c r="E186" s="110" t="n"/>
      <c r="F186" s="75" t="n"/>
      <c r="G186" s="75" t="n"/>
    </row>
    <row r="187" ht="15.75" customHeight="1" s="52">
      <c r="A187" s="114" t="n"/>
      <c r="B187" s="76" t="n"/>
      <c r="C187" s="76" t="n"/>
      <c r="D187" s="109">
        <f t="array" ref="D187:D187">IFERROR(INDEX(GroupLookup,MATCH(C187,CategoryList,0)),"")</f>
        <v/>
      </c>
      <c r="E187" s="112" t="n"/>
      <c r="F187" s="76" t="n"/>
      <c r="G187" s="76" t="n"/>
    </row>
    <row r="188" ht="15.75" customHeight="1" s="52">
      <c r="A188" s="108" t="n"/>
      <c r="B188" s="75" t="n"/>
      <c r="C188" s="75" t="n"/>
      <c r="D188" s="109">
        <f t="array" ref="D188:D188">IFERROR(INDEX(GroupLookup,MATCH(C188,CategoryList,0)),"")</f>
        <v/>
      </c>
      <c r="E188" s="110" t="n"/>
      <c r="F188" s="75" t="n"/>
      <c r="G188" s="75" t="n"/>
    </row>
    <row r="189" ht="15.75" customHeight="1" s="52">
      <c r="A189" s="114" t="n"/>
      <c r="B189" s="76" t="n"/>
      <c r="C189" s="76" t="n"/>
      <c r="D189" s="109">
        <f t="array" ref="D189:D189">IFERROR(INDEX(GroupLookup,MATCH(C189,CategoryList,0)),"")</f>
        <v/>
      </c>
      <c r="E189" s="112" t="n"/>
      <c r="F189" s="76" t="n"/>
      <c r="G189" s="76" t="n"/>
    </row>
    <row r="190" ht="15.75" customHeight="1" s="52">
      <c r="A190" s="108" t="n"/>
      <c r="B190" s="75" t="n"/>
      <c r="C190" s="75" t="n"/>
      <c r="D190" s="109">
        <f t="array" ref="D190:D190">IFERROR(INDEX(GroupLookup,MATCH(C190,CategoryList,0)),"")</f>
        <v/>
      </c>
      <c r="E190" s="110" t="n"/>
      <c r="F190" s="75" t="n"/>
      <c r="G190" s="75" t="n"/>
    </row>
    <row r="191" ht="15.75" customHeight="1" s="52">
      <c r="A191" s="114" t="n"/>
      <c r="B191" s="76" t="n"/>
      <c r="C191" s="76" t="n"/>
      <c r="D191" s="109">
        <f t="array" ref="D191:D191">IFERROR(INDEX(GroupLookup,MATCH(C191,CategoryList,0)),"")</f>
        <v/>
      </c>
      <c r="E191" s="112" t="n"/>
      <c r="F191" s="76" t="n"/>
      <c r="G191" s="76" t="n"/>
    </row>
    <row r="192" ht="15.75" customHeight="1" s="52">
      <c r="A192" s="108" t="n"/>
      <c r="B192" s="75" t="n"/>
      <c r="C192" s="75" t="n"/>
      <c r="D192" s="109">
        <f t="array" ref="D192:D192">IFERROR(INDEX(GroupLookup,MATCH(C192,CategoryList,0)),"")</f>
        <v/>
      </c>
      <c r="E192" s="110" t="n"/>
      <c r="F192" s="75" t="n"/>
      <c r="G192" s="75" t="n"/>
    </row>
    <row r="193" ht="15.75" customHeight="1" s="52">
      <c r="A193" s="114" t="n"/>
      <c r="B193" s="76" t="n"/>
      <c r="C193" s="76" t="n"/>
      <c r="D193" s="109">
        <f t="array" ref="D193:D193">IFERROR(INDEX(GroupLookup,MATCH(C193,CategoryList,0)),"")</f>
        <v/>
      </c>
      <c r="E193" s="112" t="n"/>
      <c r="F193" s="76" t="n"/>
      <c r="G193" s="76" t="n"/>
    </row>
    <row r="194" ht="15.75" customHeight="1" s="52">
      <c r="A194" s="108" t="n"/>
      <c r="B194" s="75" t="n"/>
      <c r="C194" s="75" t="n"/>
      <c r="D194" s="109">
        <f t="array" ref="D194:D194">IFERROR(INDEX(GroupLookup,MATCH(C194,CategoryList,0)),"")</f>
        <v/>
      </c>
      <c r="E194" s="110" t="n"/>
      <c r="F194" s="75" t="n"/>
      <c r="G194" s="75" t="n"/>
    </row>
    <row r="195" ht="15.75" customHeight="1" s="52">
      <c r="A195" s="114" t="n"/>
      <c r="B195" s="76" t="n"/>
      <c r="C195" s="76" t="n"/>
      <c r="D195" s="109">
        <f t="array" ref="D195:D195">IFERROR(INDEX(GroupLookup,MATCH(C195,CategoryList,0)),"")</f>
        <v/>
      </c>
      <c r="E195" s="112" t="n"/>
      <c r="F195" s="76" t="n"/>
      <c r="G195" s="76" t="n"/>
    </row>
    <row r="196" ht="15.75" customHeight="1" s="52">
      <c r="A196" s="108" t="n"/>
      <c r="B196" s="75" t="n"/>
      <c r="C196" s="75" t="n"/>
      <c r="D196" s="109">
        <f t="array" ref="D196:D196">IFERROR(INDEX(GroupLookup,MATCH(C196,CategoryList,0)),"")</f>
        <v/>
      </c>
      <c r="E196" s="110" t="n"/>
      <c r="F196" s="75" t="n"/>
      <c r="G196" s="75" t="n"/>
    </row>
    <row r="197" ht="15.75" customHeight="1" s="52">
      <c r="A197" s="114" t="n"/>
      <c r="B197" s="76" t="n"/>
      <c r="C197" s="76" t="n"/>
      <c r="D197" s="109">
        <f t="array" ref="D197:D197">IFERROR(INDEX(GroupLookup,MATCH(C197,CategoryList,0)),"")</f>
        <v/>
      </c>
      <c r="E197" s="112" t="n"/>
      <c r="F197" s="76" t="n"/>
      <c r="G197" s="76" t="n"/>
    </row>
    <row r="198" ht="15.75" customHeight="1" s="52">
      <c r="A198" s="108" t="n"/>
      <c r="B198" s="75" t="n"/>
      <c r="C198" s="75" t="n"/>
      <c r="D198" s="109">
        <f t="array" ref="D198:D198">IFERROR(INDEX(GroupLookup,MATCH(C198,CategoryList,0)),"")</f>
        <v/>
      </c>
      <c r="E198" s="110" t="n"/>
      <c r="F198" s="75" t="n"/>
      <c r="G198" s="75" t="n"/>
    </row>
    <row r="199" ht="15.75" customHeight="1" s="52">
      <c r="A199" s="114" t="n"/>
      <c r="B199" s="76" t="n"/>
      <c r="C199" s="76" t="n"/>
      <c r="D199" s="109">
        <f t="array" ref="D199:D199">IFERROR(INDEX(GroupLookup,MATCH(C199,CategoryList,0)),"")</f>
        <v/>
      </c>
      <c r="E199" s="112" t="n"/>
      <c r="F199" s="76" t="n"/>
      <c r="G199" s="76" t="n"/>
    </row>
    <row r="200" ht="15.75" customHeight="1" s="52">
      <c r="A200" s="108" t="n"/>
      <c r="B200" s="75" t="n"/>
      <c r="C200" s="75" t="n"/>
      <c r="D200" s="109">
        <f t="array" ref="D200:D200">IFERROR(INDEX(GroupLookup,MATCH(C200,CategoryList,0)),"")</f>
        <v/>
      </c>
      <c r="E200" s="110" t="n"/>
      <c r="F200" s="75" t="n"/>
      <c r="G200" s="75" t="n"/>
    </row>
    <row r="201" ht="15.75" customHeight="1" s="52">
      <c r="A201" s="114" t="n"/>
      <c r="B201" s="76" t="n"/>
      <c r="C201" s="76" t="n"/>
      <c r="D201" s="109">
        <f t="array" ref="D201:D201">IFERROR(INDEX(GroupLookup,MATCH(C201,CategoryList,0)),"")</f>
        <v/>
      </c>
      <c r="E201" s="112" t="n"/>
      <c r="F201" s="76" t="n"/>
      <c r="G201" s="76" t="n"/>
    </row>
    <row r="202" ht="15.75" customHeight="1" s="52">
      <c r="A202" s="108" t="n"/>
      <c r="B202" s="75" t="n"/>
      <c r="C202" s="75" t="n"/>
      <c r="D202" s="109">
        <f t="array" ref="D202:D202">IFERROR(INDEX(GroupLookup,MATCH(C202,CategoryList,0)),"")</f>
        <v/>
      </c>
      <c r="E202" s="110" t="n"/>
      <c r="F202" s="75" t="n"/>
      <c r="G202" s="75" t="n"/>
    </row>
    <row r="203" ht="15.75" customHeight="1" s="52">
      <c r="A203" s="114" t="n"/>
      <c r="B203" s="76" t="n"/>
      <c r="C203" s="76" t="n"/>
      <c r="D203" s="109">
        <f t="array" ref="D203:D203">IFERROR(INDEX(GroupLookup,MATCH(C203,CategoryList,0)),"")</f>
        <v/>
      </c>
      <c r="E203" s="112" t="n"/>
      <c r="F203" s="76" t="n"/>
      <c r="G203" s="76" t="n"/>
    </row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autoFilter ref="A3:G203"/>
  <mergeCells count="12">
    <mergeCell ref="A1:G1"/>
    <mergeCell ref="J20:K20"/>
    <mergeCell ref="I2:K2"/>
    <mergeCell ref="I14:K14"/>
    <mergeCell ref="J16:K16"/>
    <mergeCell ref="J15:K15"/>
    <mergeCell ref="I1:K1"/>
    <mergeCell ref="J18:K18"/>
    <mergeCell ref="J19:K19"/>
    <mergeCell ref="A2:G2"/>
    <mergeCell ref="I21:K21"/>
    <mergeCell ref="J17:K17"/>
  </mergeCells>
  <conditionalFormatting sqref="J13">
    <cfRule type="expression" rank="0" priority="2" equalAverage="0" aboveAverage="0" dxfId="0" text="" percent="0" bottom="0">
      <formula>$J$13&lt;&gt;0</formula>
    </cfRule>
  </conditionalFormatting>
  <conditionalFormatting sqref="A4:G203">
    <cfRule type="expression" rank="0" priority="3" equalAverage="0" aboveAverage="0" dxfId="7" text="" percent="0" bottom="0">
      <formula>AND($E4&gt;0,$D4="")</formula>
    </cfRule>
  </conditionalFormatting>
  <dataValidations count="4">
    <dataValidation sqref="E4:E203" showDropDown="0" showInputMessage="0" showErrorMessage="1" allowBlank="1" errorTitle="পরিমাণ ঋণাত্মক হতে পারে না" error="শুধু শূন্য বা তার বেশি সংখ্যা লিখুন। টাকার চিহ্ন নিজে থেকে বসবে।" type="decimal" errorStyle="stop" operator="greaterThanOrEqual">
      <formula1>0</formula1>
      <formula2>0</formula2>
    </dataValidation>
    <dataValidation sqref="C4:C203" showDropDown="0" showInputMessage="0" showErrorMessage="1" allowBlank="1" errorTitle="খাত তালিকায় নেই" error="ড্রপ-ডাউন থেকে একটি খাত বেছে নিন। তালিকার বাইরের খাত লিখলে ‘গ্রুপ’ কলাম খালি থাকবে এবং খরচটি গ্রুপভিত্তিক হিসাবে ধরা পড়বে না। নতুন খাত দরকার হলে ‘সেটিংস’ শিটে যোগ করুন।" type="list" errorStyle="stop" operator="between">
      <formula1>CategoryList</formula1>
      <formula2>0</formula2>
    </dataValidation>
    <dataValidation sqref="A4:A203" showDropDown="0" showInputMessage="0" showErrorMessage="1" allowBlank="1" errorTitle="তারিখ এই মাসের বাইরে" error="তারিখটি এই শিটের মাসের মধ্যে পড়ছে না। ভুল হলে ঠিক করুন, নয়তো ‘হ্যাঁ’ চেপে রেখে দিন।" type="date" errorStyle="warning" operator="between">
      <formula1>DATE(2026,6,1)</formula1>
      <formula2>DATE(2026,6,30)</formula2>
    </dataValidation>
    <dataValidation sqref="F4:F203" showDropDown="0" showInputMessage="0" showErrorMessage="1" allowBlank="1" errorTitle="পেমেন্ট মাধ্যম তালিকায় নেই" error="ড্রপ-ডাউন থেকে একটি পেমেন্ট মাধ্যম বেছে নিন।" type="list" errorStyle="stop" operator="between">
      <formula1>PaymentList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2E5C99"/>
    <outlinePr summaryBelow="1" summaryRight="1"/>
    <pageSetUpPr fitToPage="0"/>
  </sheetPr>
  <dimension ref="A1:K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3359375" defaultRowHeight="15" zeroHeight="0" outlineLevelRow="0"/>
  <cols>
    <col width="13" customWidth="1" style="51" min="1" max="1"/>
    <col width="34" customWidth="1" style="51" min="2" max="2"/>
    <col width="26" customWidth="1" style="51" min="3" max="3"/>
    <col width="24" customWidth="1" style="51" min="4" max="4"/>
    <col width="15" customWidth="1" style="51" min="5" max="5"/>
    <col width="20" customWidth="1" style="51" min="6" max="6"/>
    <col width="26" customWidth="1" style="51" min="7" max="7"/>
    <col width="3" customWidth="1" style="51" min="8" max="8"/>
    <col width="30" customWidth="1" style="51" min="9" max="9"/>
    <col width="17" customWidth="1" style="51" min="10" max="10"/>
    <col width="12" customWidth="1" style="51" min="11" max="11"/>
    <col width="8.710000000000001" customWidth="1" style="51" min="12" max="26"/>
  </cols>
  <sheetData>
    <row r="1" ht="25.5" customHeight="1" s="52">
      <c r="A1" s="104" t="inlineStr">
        <is>
          <t>দৈনিক খরচের হিসাব  —  জুলাই ২০২৬</t>
        </is>
      </c>
      <c r="I1" s="105" t="inlineStr">
        <is>
          <t>মাসিক সারসংক্ষেপ</t>
        </is>
      </c>
    </row>
    <row r="2" ht="15.75" customHeight="1" s="52">
      <c r="A2" s="59" t="inlineStr">
        <is>
          <t>শুধু  তারিখ · বিবরণ · খাত · পরিমাণ · পেমেন্ট মাধ্যম · মন্তব্য  ঘরগুলো পূরণ করুন। ‘গ্রুপ’ কলাম স্বয়ংক্রিয়ভাবে পূরণ হবে।</t>
        </is>
      </c>
      <c r="I2" s="106" t="n"/>
    </row>
    <row r="3" ht="21.75" customHeight="1" s="52">
      <c r="A3" s="107" t="inlineStr">
        <is>
          <t>তারিখ</t>
        </is>
      </c>
      <c r="B3" s="107" t="inlineStr">
        <is>
          <t>বিবরণ</t>
        </is>
      </c>
      <c r="C3" s="107" t="inlineStr">
        <is>
          <t>খাত</t>
        </is>
      </c>
      <c r="D3" s="107" t="inlineStr">
        <is>
          <t>গ্রুপ</t>
        </is>
      </c>
      <c r="E3" s="107" t="inlineStr">
        <is>
          <t>পরিমাণ (৳)</t>
        </is>
      </c>
      <c r="F3" s="107" t="inlineStr">
        <is>
          <t>পেমেন্ট মাধ্যম</t>
        </is>
      </c>
      <c r="G3" s="107" t="inlineStr">
        <is>
          <t>মন্তব্য</t>
        </is>
      </c>
      <c r="I3" s="100" t="inlineStr">
        <is>
          <t>গ্রুপ (প্রধান খাত)</t>
        </is>
      </c>
      <c r="J3" s="100" t="inlineStr">
        <is>
          <t>মোট (৳)</t>
        </is>
      </c>
      <c r="K3" s="100" t="inlineStr">
        <is>
          <t>শতাংশ</t>
        </is>
      </c>
    </row>
    <row r="4" ht="15" customHeight="1" s="52">
      <c r="A4" s="108" t="n"/>
      <c r="B4" s="75" t="n"/>
      <c r="C4" s="75" t="n"/>
      <c r="D4" s="109">
        <f t="array" ref="D4:D4">IFERROR(INDEX(GroupLookup,MATCH(C4,CategoryList,0)),"")</f>
        <v/>
      </c>
      <c r="E4" s="110" t="n"/>
      <c r="F4" s="75" t="n"/>
      <c r="G4" s="75" t="n"/>
      <c r="I4" s="75" t="inlineStr">
        <is>
          <t>খাদ্য ও মুদি</t>
        </is>
      </c>
      <c r="J4" s="110">
        <f>SUMIF($D$4:$D$203,$I4,$E$4:$E$203)</f>
        <v/>
      </c>
      <c r="K4" s="111">
        <f>IFERROR($J4/$J$12,0)</f>
        <v/>
      </c>
    </row>
    <row r="5" ht="15" customHeight="1" s="52">
      <c r="A5" s="114" t="n"/>
      <c r="B5" s="76" t="n"/>
      <c r="C5" s="76" t="n"/>
      <c r="D5" s="109">
        <f t="array" ref="D5:D5">IFERROR(INDEX(GroupLookup,MATCH(C5,CategoryList,0)),"")</f>
        <v/>
      </c>
      <c r="E5" s="112" t="n"/>
      <c r="F5" s="76" t="n"/>
      <c r="G5" s="76" t="n"/>
      <c r="I5" s="76" t="inlineStr">
        <is>
          <t>বাসস্থান</t>
        </is>
      </c>
      <c r="J5" s="112">
        <f>SUMIF($D$4:$D$203,$I5,$E$4:$E$203)</f>
        <v/>
      </c>
      <c r="K5" s="113">
        <f>IFERROR($J5/$J$12,0)</f>
        <v/>
      </c>
    </row>
    <row r="6" ht="15" customHeight="1" s="52">
      <c r="A6" s="108" t="n"/>
      <c r="B6" s="75" t="n"/>
      <c r="C6" s="75" t="n"/>
      <c r="D6" s="109">
        <f t="array" ref="D6:D6">IFERROR(INDEX(GroupLookup,MATCH(C6,CategoryList,0)),"")</f>
        <v/>
      </c>
      <c r="E6" s="110" t="n"/>
      <c r="F6" s="75" t="n"/>
      <c r="G6" s="75" t="n"/>
      <c r="I6" s="75" t="inlineStr">
        <is>
          <t>ইউটিলিটি বিল</t>
        </is>
      </c>
      <c r="J6" s="110">
        <f>SUMIF($D$4:$D$203,$I6,$E$4:$E$203)</f>
        <v/>
      </c>
      <c r="K6" s="111">
        <f>IFERROR($J6/$J$12,0)</f>
        <v/>
      </c>
    </row>
    <row r="7" ht="15" customHeight="1" s="52">
      <c r="A7" s="114" t="n"/>
      <c r="B7" s="76" t="n"/>
      <c r="C7" s="76" t="n"/>
      <c r="D7" s="109">
        <f t="array" ref="D7:D7">IFERROR(INDEX(GroupLookup,MATCH(C7,CategoryList,0)),"")</f>
        <v/>
      </c>
      <c r="E7" s="112" t="n"/>
      <c r="F7" s="76" t="n"/>
      <c r="G7" s="76" t="n"/>
      <c r="I7" s="76" t="inlineStr">
        <is>
          <t>যাতায়াত</t>
        </is>
      </c>
      <c r="J7" s="112">
        <f>SUMIF($D$4:$D$203,$I7,$E$4:$E$203)</f>
        <v/>
      </c>
      <c r="K7" s="113">
        <f>IFERROR($J7/$J$12,0)</f>
        <v/>
      </c>
    </row>
    <row r="8" ht="15" customHeight="1" s="52">
      <c r="A8" s="108" t="n"/>
      <c r="B8" s="75" t="n"/>
      <c r="C8" s="75" t="n"/>
      <c r="D8" s="109">
        <f t="array" ref="D8:D8">IFERROR(INDEX(GroupLookup,MATCH(C8,CategoryList,0)),"")</f>
        <v/>
      </c>
      <c r="E8" s="110" t="n"/>
      <c r="F8" s="75" t="n"/>
      <c r="G8" s="75" t="n"/>
      <c r="I8" s="75" t="inlineStr">
        <is>
          <t>স্বাস্থ্য</t>
        </is>
      </c>
      <c r="J8" s="110">
        <f>SUMIF($D$4:$D$203,$I8,$E$4:$E$203)</f>
        <v/>
      </c>
      <c r="K8" s="111">
        <f>IFERROR($J8/$J$12,0)</f>
        <v/>
      </c>
    </row>
    <row r="9" ht="15" customHeight="1" s="52">
      <c r="A9" s="114" t="n"/>
      <c r="B9" s="76" t="n"/>
      <c r="C9" s="76" t="n"/>
      <c r="D9" s="109">
        <f t="array" ref="D9:D9">IFERROR(INDEX(GroupLookup,MATCH(C9,CategoryList,0)),"")</f>
        <v/>
      </c>
      <c r="E9" s="112" t="n"/>
      <c r="F9" s="76" t="n"/>
      <c r="G9" s="76" t="n"/>
      <c r="I9" s="76" t="inlineStr">
        <is>
          <t>শিক্ষা</t>
        </is>
      </c>
      <c r="J9" s="112">
        <f>SUMIF($D$4:$D$203,$I9,$E$4:$E$203)</f>
        <v/>
      </c>
      <c r="K9" s="113">
        <f>IFERROR($J9/$J$12,0)</f>
        <v/>
      </c>
    </row>
    <row r="10" ht="15" customHeight="1" s="52">
      <c r="A10" s="108" t="n"/>
      <c r="B10" s="75" t="n"/>
      <c r="C10" s="75" t="n"/>
      <c r="D10" s="109">
        <f t="array" ref="D10:D10">IFERROR(INDEX(GroupLookup,MATCH(C10,CategoryList,0)),"")</f>
        <v/>
      </c>
      <c r="E10" s="110" t="n"/>
      <c r="F10" s="75" t="n"/>
      <c r="G10" s="75" t="n"/>
      <c r="I10" s="75" t="inlineStr">
        <is>
          <t>ব্যক্তিগত ও গৃহস্থালি</t>
        </is>
      </c>
      <c r="J10" s="110">
        <f>SUMIF($D$4:$D$203,$I10,$E$4:$E$203)</f>
        <v/>
      </c>
      <c r="K10" s="111">
        <f>IFERROR($J10/$J$12,0)</f>
        <v/>
      </c>
    </row>
    <row r="11" ht="15" customHeight="1" s="52">
      <c r="A11" s="114" t="n"/>
      <c r="B11" s="76" t="n"/>
      <c r="C11" s="76" t="n"/>
      <c r="D11" s="109">
        <f t="array" ref="D11:D11">IFERROR(INDEX(GroupLookup,MATCH(C11,CategoryList,0)),"")</f>
        <v/>
      </c>
      <c r="E11" s="112" t="n"/>
      <c r="F11" s="76" t="n"/>
      <c r="G11" s="76" t="n"/>
      <c r="I11" s="76" t="inlineStr">
        <is>
          <t>অন্যান্য</t>
        </is>
      </c>
      <c r="J11" s="112">
        <f>SUMIF($D$4:$D$203,$I11,$E$4:$E$203)</f>
        <v/>
      </c>
      <c r="K11" s="113">
        <f>IFERROR($J11/$J$12,0)</f>
        <v/>
      </c>
    </row>
    <row r="12" ht="15" customHeight="1" s="52">
      <c r="A12" s="108" t="n"/>
      <c r="B12" s="75" t="n"/>
      <c r="C12" s="75" t="n"/>
      <c r="D12" s="109">
        <f t="array" ref="D12:D12">IFERROR(INDEX(GroupLookup,MATCH(C12,CategoryList,0)),"")</f>
        <v/>
      </c>
      <c r="E12" s="110" t="n"/>
      <c r="F12" s="75" t="n"/>
      <c r="G12" s="75" t="n"/>
      <c r="I12" s="72" t="inlineStr">
        <is>
          <t>মোট মাসিক ব্যয়</t>
        </is>
      </c>
      <c r="J12" s="117">
        <f>SUM($E$4:$E$203)</f>
        <v/>
      </c>
      <c r="K12" s="118">
        <f>IFERROR($J$12/$J$12,0)</f>
        <v/>
      </c>
    </row>
    <row r="13" ht="15" customHeight="1" s="52">
      <c r="A13" s="114" t="n"/>
      <c r="B13" s="76" t="n"/>
      <c r="C13" s="76" t="n"/>
      <c r="D13" s="109">
        <f t="array" ref="D13:D13">IFERROR(INDEX(GroupLookup,MATCH(C13,CategoryList,0)),"")</f>
        <v/>
      </c>
      <c r="E13" s="112" t="n"/>
      <c r="F13" s="76" t="n"/>
      <c r="G13" s="76" t="n"/>
      <c r="I13" s="74" t="inlineStr">
        <is>
          <t>শ্রেণিবিন্যাসহীন (খাত তালিকায় নেই)</t>
        </is>
      </c>
      <c r="J13" s="117">
        <f>$J$12-SUM($J$4:$J$11)</f>
        <v/>
      </c>
      <c r="K13" s="118">
        <f>IFERROR($J13/$J$12,0)</f>
        <v/>
      </c>
    </row>
    <row r="14" ht="25.5" customHeight="1" s="52">
      <c r="A14" s="108" t="n"/>
      <c r="B14" s="75" t="n"/>
      <c r="C14" s="75" t="n"/>
      <c r="D14" s="109">
        <f t="array" ref="D14:D14">IFERROR(INDEX(GroupLookup,MATCH(C14,CategoryList,0)),"")</f>
        <v/>
      </c>
      <c r="E14" s="110" t="n"/>
      <c r="F14" s="75" t="n"/>
      <c r="G14" s="75" t="n"/>
      <c r="I14" s="119" t="inlineStr">
        <is>
          <t>গুরুত্বপূর্ণ তথ্য</t>
        </is>
      </c>
    </row>
    <row r="15" ht="15" customHeight="1" s="52">
      <c r="A15" s="114" t="n"/>
      <c r="B15" s="76" t="n"/>
      <c r="C15" s="76" t="n"/>
      <c r="D15" s="109">
        <f t="array" ref="D15:D15">IFERROR(INDEX(GroupLookup,MATCH(C15,CategoryList,0)),"")</f>
        <v/>
      </c>
      <c r="E15" s="112" t="n"/>
      <c r="F15" s="76" t="n"/>
      <c r="G15" s="76" t="n"/>
      <c r="I15" s="67" t="inlineStr">
        <is>
          <t>মোট লেনদেন সংখ্যা</t>
        </is>
      </c>
      <c r="J15" s="120">
        <f>COUNT($E$4:$E$203)</f>
        <v/>
      </c>
      <c r="K15" s="62" t="n"/>
    </row>
    <row r="16" ht="15" customHeight="1" s="52">
      <c r="A16" s="108" t="n"/>
      <c r="B16" s="75" t="n"/>
      <c r="C16" s="75" t="n"/>
      <c r="D16" s="109">
        <f t="array" ref="D16:D16">IFERROR(INDEX(GroupLookup,MATCH(C16,CategoryList,0)),"")</f>
        <v/>
      </c>
      <c r="E16" s="110" t="n"/>
      <c r="F16" s="75" t="n"/>
      <c r="G16" s="75" t="n"/>
      <c r="I16" s="70" t="inlineStr">
        <is>
          <t>দৈনিক গড় খরচ</t>
        </is>
      </c>
      <c r="J16" s="121">
        <f>IFERROR($J$12/31,0)</f>
        <v/>
      </c>
      <c r="K16" s="62" t="n"/>
    </row>
    <row r="17" ht="15" customHeight="1" s="52">
      <c r="A17" s="114" t="n"/>
      <c r="B17" s="76" t="n"/>
      <c r="C17" s="76" t="n"/>
      <c r="D17" s="109">
        <f t="array" ref="D17:D17">IFERROR(INDEX(GroupLookup,MATCH(C17,CategoryList,0)),"")</f>
        <v/>
      </c>
      <c r="E17" s="112" t="n"/>
      <c r="F17" s="76" t="n"/>
      <c r="G17" s="76" t="n"/>
      <c r="I17" s="67" t="inlineStr">
        <is>
          <t>প্রতি লেনদেনে গড়</t>
        </is>
      </c>
      <c r="J17" s="122">
        <f>IFERROR($J$12/COUNT($E$4:$E$203),0)</f>
        <v/>
      </c>
      <c r="K17" s="62" t="n"/>
    </row>
    <row r="18" ht="15" customHeight="1" s="52">
      <c r="A18" s="108" t="n"/>
      <c r="B18" s="75" t="n"/>
      <c r="C18" s="75" t="n"/>
      <c r="D18" s="109">
        <f t="array" ref="D18:D18">IFERROR(INDEX(GroupLookup,MATCH(C18,CategoryList,0)),"")</f>
        <v/>
      </c>
      <c r="E18" s="110" t="n"/>
      <c r="F18" s="75" t="n"/>
      <c r="G18" s="75" t="n"/>
      <c r="I18" s="70" t="inlineStr">
        <is>
          <t>সর্বোচ্চ একক খরচ</t>
        </is>
      </c>
      <c r="J18" s="121">
        <f>IFERROR(MAX($E$4:$E$203),0)</f>
        <v/>
      </c>
      <c r="K18" s="62" t="n"/>
    </row>
    <row r="19" ht="15" customHeight="1" s="52">
      <c r="A19" s="114" t="n"/>
      <c r="B19" s="76" t="n"/>
      <c r="C19" s="76" t="n"/>
      <c r="D19" s="109">
        <f t="array" ref="D19:D19">IFERROR(INDEX(GroupLookup,MATCH(C19,CategoryList,0)),"")</f>
        <v/>
      </c>
      <c r="E19" s="112" t="n"/>
      <c r="F19" s="76" t="n"/>
      <c r="G19" s="76" t="n"/>
      <c r="I19" s="67" t="inlineStr">
        <is>
          <t>সর্বোচ্চ ব্যয়ের গ্রুপ</t>
        </is>
      </c>
      <c r="J19" s="123">
        <f t="array" ref="J19:J19">IF($J$12=0,"–",IFERROR(INDEX($I$4:$I$11,MATCH(MAX($J$4:$J$11),$J$4:$J$11,0)),"–"))</f>
        <v/>
      </c>
      <c r="K19" s="62" t="n"/>
    </row>
    <row r="20" ht="15" customHeight="1" s="52">
      <c r="A20" s="108" t="n"/>
      <c r="B20" s="75" t="n"/>
      <c r="C20" s="75" t="n"/>
      <c r="D20" s="109">
        <f t="array" ref="D20:D20">IFERROR(INDEX(GroupLookup,MATCH(C20,CategoryList,0)),"")</f>
        <v/>
      </c>
      <c r="E20" s="110" t="n"/>
      <c r="F20" s="75" t="n"/>
      <c r="G20" s="75" t="n"/>
      <c r="I20" s="70" t="inlineStr">
        <is>
          <t>সর্বোচ্চ ব্যয়ের খাত</t>
        </is>
      </c>
      <c r="J20" s="124">
        <f t="array" ref="J20:J20">IF($J$12=0,"–",IFERROR(INDEX($I$23:$I$76,MATCH(MAX($J$23:$J$76),$J$23:$J$76,0)),"–"))</f>
        <v/>
      </c>
      <c r="K20" s="62" t="n"/>
    </row>
    <row r="21" ht="25.5" customHeight="1" s="52">
      <c r="A21" s="114" t="n"/>
      <c r="B21" s="76" t="n"/>
      <c r="C21" s="76" t="n"/>
      <c r="D21" s="109">
        <f t="array" ref="D21:D21">IFERROR(INDEX(GroupLookup,MATCH(C21,CategoryList,0)),"")</f>
        <v/>
      </c>
      <c r="E21" s="112" t="n"/>
      <c r="F21" s="76" t="n"/>
      <c r="G21" s="76" t="n"/>
      <c r="I21" s="119" t="inlineStr">
        <is>
          <t>খাতভিত্তিক বিস্তারিত</t>
        </is>
      </c>
    </row>
    <row r="22" ht="15.75" customHeight="1" s="52">
      <c r="A22" s="108" t="n"/>
      <c r="B22" s="75" t="n"/>
      <c r="C22" s="75" t="n"/>
      <c r="D22" s="109">
        <f t="array" ref="D22:D22">IFERROR(INDEX(GroupLookup,MATCH(C22,CategoryList,0)),"")</f>
        <v/>
      </c>
      <c r="E22" s="110" t="n"/>
      <c r="F22" s="75" t="n"/>
      <c r="G22" s="75" t="n"/>
      <c r="I22" s="100" t="inlineStr">
        <is>
          <t>খাত</t>
        </is>
      </c>
      <c r="J22" s="100" t="inlineStr">
        <is>
          <t>মোট (৳)</t>
        </is>
      </c>
      <c r="K22" s="100" t="inlineStr">
        <is>
          <t>শতাংশ</t>
        </is>
      </c>
    </row>
    <row r="23" ht="15.75" customHeight="1" s="52">
      <c r="A23" s="114" t="n"/>
      <c r="B23" s="76" t="n"/>
      <c r="C23" s="76" t="n"/>
      <c r="D23" s="109">
        <f t="array" ref="D23:D23">IFERROR(INDEX(GroupLookup,MATCH(C23,CategoryList,0)),"")</f>
        <v/>
      </c>
      <c r="E23" s="112" t="n"/>
      <c r="F23" s="76" t="n"/>
      <c r="G23" s="76" t="n"/>
      <c r="I23" s="75" t="inlineStr">
        <is>
          <t>চাল</t>
        </is>
      </c>
      <c r="J23" s="110">
        <f>SUMIF($C$4:$C$203,$I23,$E$4:$E$203)</f>
        <v/>
      </c>
      <c r="K23" s="111">
        <f>IFERROR($J23/$J$12,0)</f>
        <v/>
      </c>
    </row>
    <row r="24" ht="15.75" customHeight="1" s="52">
      <c r="A24" s="108" t="n"/>
      <c r="B24" s="75" t="n"/>
      <c r="C24" s="75" t="n"/>
      <c r="D24" s="109">
        <f t="array" ref="D24:D24">IFERROR(INDEX(GroupLookup,MATCH(C24,CategoryList,0)),"")</f>
        <v/>
      </c>
      <c r="E24" s="110" t="n"/>
      <c r="F24" s="75" t="n"/>
      <c r="G24" s="75" t="n"/>
      <c r="I24" s="76" t="inlineStr">
        <is>
          <t>আটা ও ময়দা</t>
        </is>
      </c>
      <c r="J24" s="112">
        <f>SUMIF($C$4:$C$203,$I24,$E$4:$E$203)</f>
        <v/>
      </c>
      <c r="K24" s="113">
        <f>IFERROR($J24/$J$12,0)</f>
        <v/>
      </c>
    </row>
    <row r="25" ht="15.75" customHeight="1" s="52">
      <c r="A25" s="114" t="n"/>
      <c r="B25" s="76" t="n"/>
      <c r="C25" s="76" t="n"/>
      <c r="D25" s="109">
        <f t="array" ref="D25:D25">IFERROR(INDEX(GroupLookup,MATCH(C25,CategoryList,0)),"")</f>
        <v/>
      </c>
      <c r="E25" s="112" t="n"/>
      <c r="F25" s="76" t="n"/>
      <c r="G25" s="76" t="n"/>
      <c r="I25" s="75" t="inlineStr">
        <is>
          <t>ডাল</t>
        </is>
      </c>
      <c r="J25" s="110">
        <f>SUMIF($C$4:$C$203,$I25,$E$4:$E$203)</f>
        <v/>
      </c>
      <c r="K25" s="111">
        <f>IFERROR($J25/$J$12,0)</f>
        <v/>
      </c>
    </row>
    <row r="26" ht="15.75" customHeight="1" s="52">
      <c r="A26" s="108" t="n"/>
      <c r="B26" s="75" t="n"/>
      <c r="C26" s="75" t="n"/>
      <c r="D26" s="109">
        <f t="array" ref="D26:D26">IFERROR(INDEX(GroupLookup,MATCH(C26,CategoryList,0)),"")</f>
        <v/>
      </c>
      <c r="E26" s="110" t="n"/>
      <c r="F26" s="75" t="n"/>
      <c r="G26" s="75" t="n"/>
      <c r="I26" s="76" t="inlineStr">
        <is>
          <t>মাছ</t>
        </is>
      </c>
      <c r="J26" s="112">
        <f>SUMIF($C$4:$C$203,$I26,$E$4:$E$203)</f>
        <v/>
      </c>
      <c r="K26" s="113">
        <f>IFERROR($J26/$J$12,0)</f>
        <v/>
      </c>
    </row>
    <row r="27" ht="15.75" customHeight="1" s="52">
      <c r="A27" s="114" t="n"/>
      <c r="B27" s="76" t="n"/>
      <c r="C27" s="76" t="n"/>
      <c r="D27" s="109">
        <f t="array" ref="D27:D27">IFERROR(INDEX(GroupLookup,MATCH(C27,CategoryList,0)),"")</f>
        <v/>
      </c>
      <c r="E27" s="112" t="n"/>
      <c r="F27" s="76" t="n"/>
      <c r="G27" s="76" t="n"/>
      <c r="I27" s="75" t="inlineStr">
        <is>
          <t>মাংস</t>
        </is>
      </c>
      <c r="J27" s="110">
        <f>SUMIF($C$4:$C$203,$I27,$E$4:$E$203)</f>
        <v/>
      </c>
      <c r="K27" s="111">
        <f>IFERROR($J27/$J$12,0)</f>
        <v/>
      </c>
    </row>
    <row r="28" ht="15.75" customHeight="1" s="52">
      <c r="A28" s="108" t="n"/>
      <c r="B28" s="75" t="n"/>
      <c r="C28" s="75" t="n"/>
      <c r="D28" s="109">
        <f t="array" ref="D28:D28">IFERROR(INDEX(GroupLookup,MATCH(C28,CategoryList,0)),"")</f>
        <v/>
      </c>
      <c r="E28" s="110" t="n"/>
      <c r="F28" s="75" t="n"/>
      <c r="G28" s="75" t="n"/>
      <c r="I28" s="76" t="inlineStr">
        <is>
          <t>ডিম</t>
        </is>
      </c>
      <c r="J28" s="112">
        <f>SUMIF($C$4:$C$203,$I28,$E$4:$E$203)</f>
        <v/>
      </c>
      <c r="K28" s="113">
        <f>IFERROR($J28/$J$12,0)</f>
        <v/>
      </c>
    </row>
    <row r="29" ht="15.75" customHeight="1" s="52">
      <c r="A29" s="114" t="n"/>
      <c r="B29" s="76" t="n"/>
      <c r="C29" s="76" t="n"/>
      <c r="D29" s="109">
        <f t="array" ref="D29:D29">IFERROR(INDEX(GroupLookup,MATCH(C29,CategoryList,0)),"")</f>
        <v/>
      </c>
      <c r="E29" s="112" t="n"/>
      <c r="F29" s="76" t="n"/>
      <c r="G29" s="76" t="n"/>
      <c r="I29" s="75" t="inlineStr">
        <is>
          <t>দুধ ও দুগ্ধজাত পণ্য</t>
        </is>
      </c>
      <c r="J29" s="110">
        <f>SUMIF($C$4:$C$203,$I29,$E$4:$E$203)</f>
        <v/>
      </c>
      <c r="K29" s="111">
        <f>IFERROR($J29/$J$12,0)</f>
        <v/>
      </c>
    </row>
    <row r="30" ht="15.75" customHeight="1" s="52">
      <c r="A30" s="108" t="n"/>
      <c r="B30" s="75" t="n"/>
      <c r="C30" s="75" t="n"/>
      <c r="D30" s="109">
        <f t="array" ref="D30:D30">IFERROR(INDEX(GroupLookup,MATCH(C30,CategoryList,0)),"")</f>
        <v/>
      </c>
      <c r="E30" s="110" t="n"/>
      <c r="F30" s="75" t="n"/>
      <c r="G30" s="75" t="n"/>
      <c r="I30" s="76" t="inlineStr">
        <is>
          <t>ভোজ্য তেল</t>
        </is>
      </c>
      <c r="J30" s="112">
        <f>SUMIF($C$4:$C$203,$I30,$E$4:$E$203)</f>
        <v/>
      </c>
      <c r="K30" s="113">
        <f>IFERROR($J30/$J$12,0)</f>
        <v/>
      </c>
    </row>
    <row r="31" ht="15.75" customHeight="1" s="52">
      <c r="A31" s="114" t="n"/>
      <c r="B31" s="76" t="n"/>
      <c r="C31" s="76" t="n"/>
      <c r="D31" s="109">
        <f t="array" ref="D31:D31">IFERROR(INDEX(GroupLookup,MATCH(C31,CategoryList,0)),"")</f>
        <v/>
      </c>
      <c r="E31" s="112" t="n"/>
      <c r="F31" s="76" t="n"/>
      <c r="G31" s="76" t="n"/>
      <c r="I31" s="75" t="inlineStr">
        <is>
          <t>শাক-সবজি</t>
        </is>
      </c>
      <c r="J31" s="110">
        <f>SUMIF($C$4:$C$203,$I31,$E$4:$E$203)</f>
        <v/>
      </c>
      <c r="K31" s="111">
        <f>IFERROR($J31/$J$12,0)</f>
        <v/>
      </c>
    </row>
    <row r="32" ht="15.75" customHeight="1" s="52">
      <c r="A32" s="108" t="n"/>
      <c r="B32" s="75" t="n"/>
      <c r="C32" s="75" t="n"/>
      <c r="D32" s="109">
        <f t="array" ref="D32:D32">IFERROR(INDEX(GroupLookup,MATCH(C32,CategoryList,0)),"")</f>
        <v/>
      </c>
      <c r="E32" s="110" t="n"/>
      <c r="F32" s="75" t="n"/>
      <c r="G32" s="75" t="n"/>
      <c r="I32" s="76" t="inlineStr">
        <is>
          <t>ফলমূল</t>
        </is>
      </c>
      <c r="J32" s="112">
        <f>SUMIF($C$4:$C$203,$I32,$E$4:$E$203)</f>
        <v/>
      </c>
      <c r="K32" s="113">
        <f>IFERROR($J32/$J$12,0)</f>
        <v/>
      </c>
    </row>
    <row r="33" ht="15.75" customHeight="1" s="52">
      <c r="A33" s="114" t="n"/>
      <c r="B33" s="76" t="n"/>
      <c r="C33" s="76" t="n"/>
      <c r="D33" s="109">
        <f t="array" ref="D33:D33">IFERROR(INDEX(GroupLookup,MATCH(C33,CategoryList,0)),"")</f>
        <v/>
      </c>
      <c r="E33" s="112" t="n"/>
      <c r="F33" s="76" t="n"/>
      <c r="G33" s="76" t="n"/>
      <c r="I33" s="75" t="inlineStr">
        <is>
          <t>মসলা</t>
        </is>
      </c>
      <c r="J33" s="110">
        <f>SUMIF($C$4:$C$203,$I33,$E$4:$E$203)</f>
        <v/>
      </c>
      <c r="K33" s="111">
        <f>IFERROR($J33/$J$12,0)</f>
        <v/>
      </c>
    </row>
    <row r="34" ht="15.75" customHeight="1" s="52">
      <c r="A34" s="108" t="n"/>
      <c r="B34" s="75" t="n"/>
      <c r="C34" s="75" t="n"/>
      <c r="D34" s="109">
        <f t="array" ref="D34:D34">IFERROR(INDEX(GroupLookup,MATCH(C34,CategoryList,0)),"")</f>
        <v/>
      </c>
      <c r="E34" s="110" t="n"/>
      <c r="F34" s="75" t="n"/>
      <c r="G34" s="75" t="n"/>
      <c r="I34" s="76" t="inlineStr">
        <is>
          <t>চিনি ও লবণ</t>
        </is>
      </c>
      <c r="J34" s="112">
        <f>SUMIF($C$4:$C$203,$I34,$E$4:$E$203)</f>
        <v/>
      </c>
      <c r="K34" s="113">
        <f>IFERROR($J34/$J$12,0)</f>
        <v/>
      </c>
    </row>
    <row r="35" ht="15.75" customHeight="1" s="52">
      <c r="A35" s="114" t="n"/>
      <c r="B35" s="76" t="n"/>
      <c r="C35" s="76" t="n"/>
      <c r="D35" s="109">
        <f t="array" ref="D35:D35">IFERROR(INDEX(GroupLookup,MATCH(C35,CategoryList,0)),"")</f>
        <v/>
      </c>
      <c r="E35" s="112" t="n"/>
      <c r="F35" s="76" t="n"/>
      <c r="G35" s="76" t="n"/>
      <c r="I35" s="75" t="inlineStr">
        <is>
          <t>চা ও কফি</t>
        </is>
      </c>
      <c r="J35" s="110">
        <f>SUMIF($C$4:$C$203,$I35,$E$4:$E$203)</f>
        <v/>
      </c>
      <c r="K35" s="111">
        <f>IFERROR($J35/$J$12,0)</f>
        <v/>
      </c>
    </row>
    <row r="36" ht="15.75" customHeight="1" s="52">
      <c r="A36" s="108" t="n"/>
      <c r="B36" s="75" t="n"/>
      <c r="C36" s="75" t="n"/>
      <c r="D36" s="109">
        <f t="array" ref="D36:D36">IFERROR(INDEX(GroupLookup,MATCH(C36,CategoryList,0)),"")</f>
        <v/>
      </c>
      <c r="E36" s="110" t="n"/>
      <c r="F36" s="75" t="n"/>
      <c r="G36" s="75" t="n"/>
      <c r="I36" s="76" t="inlineStr">
        <is>
          <t>নাশতা ও বেকারি</t>
        </is>
      </c>
      <c r="J36" s="112">
        <f>SUMIF($C$4:$C$203,$I36,$E$4:$E$203)</f>
        <v/>
      </c>
      <c r="K36" s="113">
        <f>IFERROR($J36/$J$12,0)</f>
        <v/>
      </c>
    </row>
    <row r="37" ht="15.75" customHeight="1" s="52">
      <c r="A37" s="114" t="n"/>
      <c r="B37" s="76" t="n"/>
      <c r="C37" s="76" t="n"/>
      <c r="D37" s="109">
        <f t="array" ref="D37:D37">IFERROR(INDEX(GroupLookup,MATCH(C37,CategoryList,0)),"")</f>
        <v/>
      </c>
      <c r="E37" s="112" t="n"/>
      <c r="F37" s="76" t="n"/>
      <c r="G37" s="76" t="n"/>
      <c r="I37" s="75" t="inlineStr">
        <is>
          <t>বাইরে খাওয়া / রেস্তোরাঁ</t>
        </is>
      </c>
      <c r="J37" s="110">
        <f>SUMIF($C$4:$C$203,$I37,$E$4:$E$203)</f>
        <v/>
      </c>
      <c r="K37" s="111">
        <f>IFERROR($J37/$J$12,0)</f>
        <v/>
      </c>
    </row>
    <row r="38" ht="15.75" customHeight="1" s="52">
      <c r="A38" s="108" t="n"/>
      <c r="B38" s="75" t="n"/>
      <c r="C38" s="75" t="n"/>
      <c r="D38" s="109">
        <f t="array" ref="D38:D38">IFERROR(INDEX(GroupLookup,MATCH(C38,CategoryList,0)),"")</f>
        <v/>
      </c>
      <c r="E38" s="110" t="n"/>
      <c r="F38" s="75" t="n"/>
      <c r="G38" s="75" t="n"/>
      <c r="I38" s="76" t="inlineStr">
        <is>
          <t>বাড়ি ভাড়া</t>
        </is>
      </c>
      <c r="J38" s="112">
        <f>SUMIF($C$4:$C$203,$I38,$E$4:$E$203)</f>
        <v/>
      </c>
      <c r="K38" s="113">
        <f>IFERROR($J38/$J$12,0)</f>
        <v/>
      </c>
    </row>
    <row r="39" ht="15.75" customHeight="1" s="52">
      <c r="A39" s="114" t="n"/>
      <c r="B39" s="76" t="n"/>
      <c r="C39" s="76" t="n"/>
      <c r="D39" s="109">
        <f t="array" ref="D39:D39">IFERROR(INDEX(GroupLookup,MATCH(C39,CategoryList,0)),"")</f>
        <v/>
      </c>
      <c r="E39" s="112" t="n"/>
      <c r="F39" s="76" t="n"/>
      <c r="G39" s="76" t="n"/>
      <c r="I39" s="75" t="inlineStr">
        <is>
          <t>সার্ভিস চার্জ</t>
        </is>
      </c>
      <c r="J39" s="110">
        <f>SUMIF($C$4:$C$203,$I39,$E$4:$E$203)</f>
        <v/>
      </c>
      <c r="K39" s="111">
        <f>IFERROR($J39/$J$12,0)</f>
        <v/>
      </c>
    </row>
    <row r="40" ht="15.75" customHeight="1" s="52">
      <c r="A40" s="108" t="n"/>
      <c r="B40" s="75" t="n"/>
      <c r="C40" s="75" t="n"/>
      <c r="D40" s="109">
        <f t="array" ref="D40:D40">IFERROR(INDEX(GroupLookup,MATCH(C40,CategoryList,0)),"")</f>
        <v/>
      </c>
      <c r="E40" s="110" t="n"/>
      <c r="F40" s="75" t="n"/>
      <c r="G40" s="75" t="n"/>
      <c r="I40" s="76" t="inlineStr">
        <is>
          <t>বাড়ি মেরামত ও রক্ষণাবেক্ষণ</t>
        </is>
      </c>
      <c r="J40" s="112">
        <f>SUMIF($C$4:$C$203,$I40,$E$4:$E$203)</f>
        <v/>
      </c>
      <c r="K40" s="113">
        <f>IFERROR($J40/$J$12,0)</f>
        <v/>
      </c>
    </row>
    <row r="41" ht="15.75" customHeight="1" s="52">
      <c r="A41" s="114" t="n"/>
      <c r="B41" s="76" t="n"/>
      <c r="C41" s="76" t="n"/>
      <c r="D41" s="109">
        <f t="array" ref="D41:D41">IFERROR(INDEX(GroupLookup,MATCH(C41,CategoryList,0)),"")</f>
        <v/>
      </c>
      <c r="E41" s="112" t="n"/>
      <c r="F41" s="76" t="n"/>
      <c r="G41" s="76" t="n"/>
      <c r="I41" s="75" t="inlineStr">
        <is>
          <t>গৃহকর্মীর বেতন</t>
        </is>
      </c>
      <c r="J41" s="110">
        <f>SUMIF($C$4:$C$203,$I41,$E$4:$E$203)</f>
        <v/>
      </c>
      <c r="K41" s="111">
        <f>IFERROR($J41/$J$12,0)</f>
        <v/>
      </c>
    </row>
    <row r="42" ht="15.75" customHeight="1" s="52">
      <c r="A42" s="108" t="n"/>
      <c r="B42" s="75" t="n"/>
      <c r="C42" s="75" t="n"/>
      <c r="D42" s="109">
        <f t="array" ref="D42:D42">IFERROR(INDEX(GroupLookup,MATCH(C42,CategoryList,0)),"")</f>
        <v/>
      </c>
      <c r="E42" s="110" t="n"/>
      <c r="F42" s="75" t="n"/>
      <c r="G42" s="75" t="n"/>
      <c r="I42" s="76" t="inlineStr">
        <is>
          <t>আসবাবপত্র</t>
        </is>
      </c>
      <c r="J42" s="112">
        <f>SUMIF($C$4:$C$203,$I42,$E$4:$E$203)</f>
        <v/>
      </c>
      <c r="K42" s="113">
        <f>IFERROR($J42/$J$12,0)</f>
        <v/>
      </c>
    </row>
    <row r="43" ht="15.75" customHeight="1" s="52">
      <c r="A43" s="114" t="n"/>
      <c r="B43" s="76" t="n"/>
      <c r="C43" s="76" t="n"/>
      <c r="D43" s="109">
        <f t="array" ref="D43:D43">IFERROR(INDEX(GroupLookup,MATCH(C43,CategoryList,0)),"")</f>
        <v/>
      </c>
      <c r="E43" s="112" t="n"/>
      <c r="F43" s="76" t="n"/>
      <c r="G43" s="76" t="n"/>
      <c r="I43" s="75" t="inlineStr">
        <is>
          <t>বিদ্যুৎ বিল</t>
        </is>
      </c>
      <c r="J43" s="110">
        <f>SUMIF($C$4:$C$203,$I43,$E$4:$E$203)</f>
        <v/>
      </c>
      <c r="K43" s="111">
        <f>IFERROR($J43/$J$12,0)</f>
        <v/>
      </c>
    </row>
    <row r="44" ht="15.75" customHeight="1" s="52">
      <c r="A44" s="108" t="n"/>
      <c r="B44" s="75" t="n"/>
      <c r="C44" s="75" t="n"/>
      <c r="D44" s="109">
        <f t="array" ref="D44:D44">IFERROR(INDEX(GroupLookup,MATCH(C44,CategoryList,0)),"")</f>
        <v/>
      </c>
      <c r="E44" s="110" t="n"/>
      <c r="F44" s="75" t="n"/>
      <c r="G44" s="75" t="n"/>
      <c r="I44" s="76" t="inlineStr">
        <is>
          <t>গ্যাস বিল</t>
        </is>
      </c>
      <c r="J44" s="112">
        <f>SUMIF($C$4:$C$203,$I44,$E$4:$E$203)</f>
        <v/>
      </c>
      <c r="K44" s="113">
        <f>IFERROR($J44/$J$12,0)</f>
        <v/>
      </c>
    </row>
    <row r="45" ht="15.75" customHeight="1" s="52">
      <c r="A45" s="114" t="n"/>
      <c r="B45" s="76" t="n"/>
      <c r="C45" s="76" t="n"/>
      <c r="D45" s="109">
        <f t="array" ref="D45:D45">IFERROR(INDEX(GroupLookup,MATCH(C45,CategoryList,0)),"")</f>
        <v/>
      </c>
      <c r="E45" s="112" t="n"/>
      <c r="F45" s="76" t="n"/>
      <c r="G45" s="76" t="n"/>
      <c r="I45" s="75" t="inlineStr">
        <is>
          <t>পানির বিল</t>
        </is>
      </c>
      <c r="J45" s="110">
        <f>SUMIF($C$4:$C$203,$I45,$E$4:$E$203)</f>
        <v/>
      </c>
      <c r="K45" s="111">
        <f>IFERROR($J45/$J$12,0)</f>
        <v/>
      </c>
    </row>
    <row r="46" ht="15.75" customHeight="1" s="52">
      <c r="A46" s="108" t="n"/>
      <c r="B46" s="75" t="n"/>
      <c r="C46" s="75" t="n"/>
      <c r="D46" s="109">
        <f t="array" ref="D46:D46">IFERROR(INDEX(GroupLookup,MATCH(C46,CategoryList,0)),"")</f>
        <v/>
      </c>
      <c r="E46" s="110" t="n"/>
      <c r="F46" s="75" t="n"/>
      <c r="G46" s="75" t="n"/>
      <c r="I46" s="76" t="inlineStr">
        <is>
          <t>ইন্টারনেট বিল</t>
        </is>
      </c>
      <c r="J46" s="112">
        <f>SUMIF($C$4:$C$203,$I46,$E$4:$E$203)</f>
        <v/>
      </c>
      <c r="K46" s="113">
        <f>IFERROR($J46/$J$12,0)</f>
        <v/>
      </c>
    </row>
    <row r="47" ht="15.75" customHeight="1" s="52">
      <c r="A47" s="114" t="n"/>
      <c r="B47" s="76" t="n"/>
      <c r="C47" s="76" t="n"/>
      <c r="D47" s="109">
        <f t="array" ref="D47:D47">IFERROR(INDEX(GroupLookup,MATCH(C47,CategoryList,0)),"")</f>
        <v/>
      </c>
      <c r="E47" s="112" t="n"/>
      <c r="F47" s="76" t="n"/>
      <c r="G47" s="76" t="n"/>
      <c r="I47" s="75" t="inlineStr">
        <is>
          <t>মোবাইল রিচার্জ</t>
        </is>
      </c>
      <c r="J47" s="110">
        <f>SUMIF($C$4:$C$203,$I47,$E$4:$E$203)</f>
        <v/>
      </c>
      <c r="K47" s="111">
        <f>IFERROR($J47/$J$12,0)</f>
        <v/>
      </c>
    </row>
    <row r="48" ht="15.75" customHeight="1" s="52">
      <c r="A48" s="108" t="n"/>
      <c r="B48" s="75" t="n"/>
      <c r="C48" s="75" t="n"/>
      <c r="D48" s="109">
        <f t="array" ref="D48:D48">IFERROR(INDEX(GroupLookup,MATCH(C48,CategoryList,0)),"")</f>
        <v/>
      </c>
      <c r="E48" s="110" t="n"/>
      <c r="F48" s="75" t="n"/>
      <c r="G48" s="75" t="n"/>
      <c r="I48" s="76" t="inlineStr">
        <is>
          <t>ডিশ / ক্যাবল বিল</t>
        </is>
      </c>
      <c r="J48" s="112">
        <f>SUMIF($C$4:$C$203,$I48,$E$4:$E$203)</f>
        <v/>
      </c>
      <c r="K48" s="113">
        <f>IFERROR($J48/$J$12,0)</f>
        <v/>
      </c>
    </row>
    <row r="49" ht="15.75" customHeight="1" s="52">
      <c r="A49" s="114" t="n"/>
      <c r="B49" s="76" t="n"/>
      <c r="C49" s="76" t="n"/>
      <c r="D49" s="109">
        <f t="array" ref="D49:D49">IFERROR(INDEX(GroupLookup,MATCH(C49,CategoryList,0)),"")</f>
        <v/>
      </c>
      <c r="E49" s="112" t="n"/>
      <c r="F49" s="76" t="n"/>
      <c r="G49" s="76" t="n"/>
      <c r="I49" s="75" t="inlineStr">
        <is>
          <t>পৌর কর ও হোল্ডিং ট্যাক্স</t>
        </is>
      </c>
      <c r="J49" s="110">
        <f>SUMIF($C$4:$C$203,$I49,$E$4:$E$203)</f>
        <v/>
      </c>
      <c r="K49" s="111">
        <f>IFERROR($J49/$J$12,0)</f>
        <v/>
      </c>
    </row>
    <row r="50" ht="15.75" customHeight="1" s="52">
      <c r="A50" s="108" t="n"/>
      <c r="B50" s="75" t="n"/>
      <c r="C50" s="75" t="n"/>
      <c r="D50" s="109">
        <f t="array" ref="D50:D50">IFERROR(INDEX(GroupLookup,MATCH(C50,CategoryList,0)),"")</f>
        <v/>
      </c>
      <c r="E50" s="110" t="n"/>
      <c r="F50" s="75" t="n"/>
      <c r="G50" s="75" t="n"/>
      <c r="I50" s="76" t="inlineStr">
        <is>
          <t>ময়লা ও পরিচ্ছন্নতা বিল</t>
        </is>
      </c>
      <c r="J50" s="112">
        <f>SUMIF($C$4:$C$203,$I50,$E$4:$E$203)</f>
        <v/>
      </c>
      <c r="K50" s="113">
        <f>IFERROR($J50/$J$12,0)</f>
        <v/>
      </c>
    </row>
    <row r="51" ht="15.75" customHeight="1" s="52">
      <c r="A51" s="114" t="n"/>
      <c r="B51" s="76" t="n"/>
      <c r="C51" s="76" t="n"/>
      <c r="D51" s="109">
        <f t="array" ref="D51:D51">IFERROR(INDEX(GroupLookup,MATCH(C51,CategoryList,0)),"")</f>
        <v/>
      </c>
      <c r="E51" s="112" t="n"/>
      <c r="F51" s="76" t="n"/>
      <c r="G51" s="76" t="n"/>
      <c r="I51" s="75" t="inlineStr">
        <is>
          <t>রিকশা / সিএনজি</t>
        </is>
      </c>
      <c r="J51" s="110">
        <f>SUMIF($C$4:$C$203,$I51,$E$4:$E$203)</f>
        <v/>
      </c>
      <c r="K51" s="111">
        <f>IFERROR($J51/$J$12,0)</f>
        <v/>
      </c>
    </row>
    <row r="52" ht="15.75" customHeight="1" s="52">
      <c r="A52" s="108" t="n"/>
      <c r="B52" s="75" t="n"/>
      <c r="C52" s="75" t="n"/>
      <c r="D52" s="109">
        <f t="array" ref="D52:D52">IFERROR(INDEX(GroupLookup,MATCH(C52,CategoryList,0)),"")</f>
        <v/>
      </c>
      <c r="E52" s="110" t="n"/>
      <c r="F52" s="75" t="n"/>
      <c r="G52" s="75" t="n"/>
      <c r="I52" s="76" t="inlineStr">
        <is>
          <t>বাস / ট্রেন / লঞ্চ ভাড়া</t>
        </is>
      </c>
      <c r="J52" s="112">
        <f>SUMIF($C$4:$C$203,$I52,$E$4:$E$203)</f>
        <v/>
      </c>
      <c r="K52" s="113">
        <f>IFERROR($J52/$J$12,0)</f>
        <v/>
      </c>
    </row>
    <row r="53" ht="15.75" customHeight="1" s="52">
      <c r="A53" s="114" t="n"/>
      <c r="B53" s="76" t="n"/>
      <c r="C53" s="76" t="n"/>
      <c r="D53" s="109">
        <f t="array" ref="D53:D53">IFERROR(INDEX(GroupLookup,MATCH(C53,CategoryList,0)),"")</f>
        <v/>
      </c>
      <c r="E53" s="112" t="n"/>
      <c r="F53" s="76" t="n"/>
      <c r="G53" s="76" t="n"/>
      <c r="I53" s="75" t="inlineStr">
        <is>
          <t>রাইড শেয়ারিং</t>
        </is>
      </c>
      <c r="J53" s="110">
        <f>SUMIF($C$4:$C$203,$I53,$E$4:$E$203)</f>
        <v/>
      </c>
      <c r="K53" s="111">
        <f>IFERROR($J53/$J$12,0)</f>
        <v/>
      </c>
    </row>
    <row r="54" ht="15.75" customHeight="1" s="52">
      <c r="A54" s="108" t="n"/>
      <c r="B54" s="75" t="n"/>
      <c r="C54" s="75" t="n"/>
      <c r="D54" s="109">
        <f t="array" ref="D54:D54">IFERROR(INDEX(GroupLookup,MATCH(C54,CategoryList,0)),"")</f>
        <v/>
      </c>
      <c r="E54" s="110" t="n"/>
      <c r="F54" s="75" t="n"/>
      <c r="G54" s="75" t="n"/>
      <c r="I54" s="76" t="inlineStr">
        <is>
          <t>জ্বালানি (পেট্রোল / ডিজেল)</t>
        </is>
      </c>
      <c r="J54" s="112">
        <f>SUMIF($C$4:$C$203,$I54,$E$4:$E$203)</f>
        <v/>
      </c>
      <c r="K54" s="113">
        <f>IFERROR($J54/$J$12,0)</f>
        <v/>
      </c>
    </row>
    <row r="55" ht="15.75" customHeight="1" s="52">
      <c r="A55" s="114" t="n"/>
      <c r="B55" s="76" t="n"/>
      <c r="C55" s="76" t="n"/>
      <c r="D55" s="109">
        <f t="array" ref="D55:D55">IFERROR(INDEX(GroupLookup,MATCH(C55,CategoryList,0)),"")</f>
        <v/>
      </c>
      <c r="E55" s="112" t="n"/>
      <c r="F55" s="76" t="n"/>
      <c r="G55" s="76" t="n"/>
      <c r="I55" s="75" t="inlineStr">
        <is>
          <t>গাড়ি / বাইক রক্ষণাবেক্ষণ</t>
        </is>
      </c>
      <c r="J55" s="110">
        <f>SUMIF($C$4:$C$203,$I55,$E$4:$E$203)</f>
        <v/>
      </c>
      <c r="K55" s="111">
        <f>IFERROR($J55/$J$12,0)</f>
        <v/>
      </c>
    </row>
    <row r="56" ht="15.75" customHeight="1" s="52">
      <c r="A56" s="108" t="n"/>
      <c r="B56" s="75" t="n"/>
      <c r="C56" s="75" t="n"/>
      <c r="D56" s="109">
        <f t="array" ref="D56:D56">IFERROR(INDEX(GroupLookup,MATCH(C56,CategoryList,0)),"")</f>
        <v/>
      </c>
      <c r="E56" s="110" t="n"/>
      <c r="F56" s="75" t="n"/>
      <c r="G56" s="75" t="n"/>
      <c r="I56" s="76" t="inlineStr">
        <is>
          <t>পার্কিং ও টোল</t>
        </is>
      </c>
      <c r="J56" s="112">
        <f>SUMIF($C$4:$C$203,$I56,$E$4:$E$203)</f>
        <v/>
      </c>
      <c r="K56" s="113">
        <f>IFERROR($J56/$J$12,0)</f>
        <v/>
      </c>
    </row>
    <row r="57" ht="15.75" customHeight="1" s="52">
      <c r="A57" s="114" t="n"/>
      <c r="B57" s="76" t="n"/>
      <c r="C57" s="76" t="n"/>
      <c r="D57" s="109">
        <f t="array" ref="D57:D57">IFERROR(INDEX(GroupLookup,MATCH(C57,CategoryList,0)),"")</f>
        <v/>
      </c>
      <c r="E57" s="112" t="n"/>
      <c r="F57" s="76" t="n"/>
      <c r="G57" s="76" t="n"/>
      <c r="I57" s="75" t="inlineStr">
        <is>
          <t>ওষুধ</t>
        </is>
      </c>
      <c r="J57" s="110">
        <f>SUMIF($C$4:$C$203,$I57,$E$4:$E$203)</f>
        <v/>
      </c>
      <c r="K57" s="111">
        <f>IFERROR($J57/$J$12,0)</f>
        <v/>
      </c>
    </row>
    <row r="58" ht="15.75" customHeight="1" s="52">
      <c r="A58" s="108" t="n"/>
      <c r="B58" s="75" t="n"/>
      <c r="C58" s="75" t="n"/>
      <c r="D58" s="109">
        <f t="array" ref="D58:D58">IFERROR(INDEX(GroupLookup,MATCH(C58,CategoryList,0)),"")</f>
        <v/>
      </c>
      <c r="E58" s="110" t="n"/>
      <c r="F58" s="75" t="n"/>
      <c r="G58" s="75" t="n"/>
      <c r="I58" s="76" t="inlineStr">
        <is>
          <t>ডাক্তারের ফি</t>
        </is>
      </c>
      <c r="J58" s="112">
        <f>SUMIF($C$4:$C$203,$I58,$E$4:$E$203)</f>
        <v/>
      </c>
      <c r="K58" s="113">
        <f>IFERROR($J58/$J$12,0)</f>
        <v/>
      </c>
    </row>
    <row r="59" ht="15.75" customHeight="1" s="52">
      <c r="A59" s="114" t="n"/>
      <c r="B59" s="76" t="n"/>
      <c r="C59" s="76" t="n"/>
      <c r="D59" s="109">
        <f t="array" ref="D59:D59">IFERROR(INDEX(GroupLookup,MATCH(C59,CategoryList,0)),"")</f>
        <v/>
      </c>
      <c r="E59" s="112" t="n"/>
      <c r="F59" s="76" t="n"/>
      <c r="G59" s="76" t="n"/>
      <c r="I59" s="75" t="inlineStr">
        <is>
          <t>চিকিৎসা পরীক্ষা</t>
        </is>
      </c>
      <c r="J59" s="110">
        <f>SUMIF($C$4:$C$203,$I59,$E$4:$E$203)</f>
        <v/>
      </c>
      <c r="K59" s="111">
        <f>IFERROR($J59/$J$12,0)</f>
        <v/>
      </c>
    </row>
    <row r="60" ht="15.75" customHeight="1" s="52">
      <c r="A60" s="108" t="n"/>
      <c r="B60" s="75" t="n"/>
      <c r="C60" s="75" t="n"/>
      <c r="D60" s="109">
        <f t="array" ref="D60:D60">IFERROR(INDEX(GroupLookup,MATCH(C60,CategoryList,0)),"")</f>
        <v/>
      </c>
      <c r="E60" s="110" t="n"/>
      <c r="F60" s="75" t="n"/>
      <c r="G60" s="75" t="n"/>
      <c r="I60" s="76" t="inlineStr">
        <is>
          <t>স্বাস্থ্য বীমা</t>
        </is>
      </c>
      <c r="J60" s="112">
        <f>SUMIF($C$4:$C$203,$I60,$E$4:$E$203)</f>
        <v/>
      </c>
      <c r="K60" s="113">
        <f>IFERROR($J60/$J$12,0)</f>
        <v/>
      </c>
    </row>
    <row r="61" ht="15.75" customHeight="1" s="52">
      <c r="A61" s="114" t="n"/>
      <c r="B61" s="76" t="n"/>
      <c r="C61" s="76" t="n"/>
      <c r="D61" s="109">
        <f t="array" ref="D61:D61">IFERROR(INDEX(GroupLookup,MATCH(C61,CategoryList,0)),"")</f>
        <v/>
      </c>
      <c r="E61" s="112" t="n"/>
      <c r="F61" s="76" t="n"/>
      <c r="G61" s="76" t="n"/>
      <c r="I61" s="75" t="inlineStr">
        <is>
          <t>স্কুল / কলেজ ফি</t>
        </is>
      </c>
      <c r="J61" s="110">
        <f>SUMIF($C$4:$C$203,$I61,$E$4:$E$203)</f>
        <v/>
      </c>
      <c r="K61" s="111">
        <f>IFERROR($J61/$J$12,0)</f>
        <v/>
      </c>
    </row>
    <row r="62" ht="15.75" customHeight="1" s="52">
      <c r="A62" s="108" t="n"/>
      <c r="B62" s="75" t="n"/>
      <c r="C62" s="75" t="n"/>
      <c r="D62" s="109">
        <f t="array" ref="D62:D62">IFERROR(INDEX(GroupLookup,MATCH(C62,CategoryList,0)),"")</f>
        <v/>
      </c>
      <c r="E62" s="110" t="n"/>
      <c r="F62" s="75" t="n"/>
      <c r="G62" s="75" t="n"/>
      <c r="I62" s="76" t="inlineStr">
        <is>
          <t>প্রাইভেট / কোচিং</t>
        </is>
      </c>
      <c r="J62" s="112">
        <f>SUMIF($C$4:$C$203,$I62,$E$4:$E$203)</f>
        <v/>
      </c>
      <c r="K62" s="113">
        <f>IFERROR($J62/$J$12,0)</f>
        <v/>
      </c>
    </row>
    <row r="63" ht="15.75" customHeight="1" s="52">
      <c r="A63" s="114" t="n"/>
      <c r="B63" s="76" t="n"/>
      <c r="C63" s="76" t="n"/>
      <c r="D63" s="109">
        <f t="array" ref="D63:D63">IFERROR(INDEX(GroupLookup,MATCH(C63,CategoryList,0)),"")</f>
        <v/>
      </c>
      <c r="E63" s="112" t="n"/>
      <c r="F63" s="76" t="n"/>
      <c r="G63" s="76" t="n"/>
      <c r="I63" s="75" t="inlineStr">
        <is>
          <t>বই ও শিক্ষা উপকরণ</t>
        </is>
      </c>
      <c r="J63" s="110">
        <f>SUMIF($C$4:$C$203,$I63,$E$4:$E$203)</f>
        <v/>
      </c>
      <c r="K63" s="111">
        <f>IFERROR($J63/$J$12,0)</f>
        <v/>
      </c>
    </row>
    <row r="64" ht="15.75" customHeight="1" s="52">
      <c r="A64" s="108" t="n"/>
      <c r="B64" s="75" t="n"/>
      <c r="C64" s="75" t="n"/>
      <c r="D64" s="109">
        <f t="array" ref="D64:D64">IFERROR(INDEX(GroupLookup,MATCH(C64,CategoryList,0)),"")</f>
        <v/>
      </c>
      <c r="E64" s="110" t="n"/>
      <c r="F64" s="75" t="n"/>
      <c r="G64" s="75" t="n"/>
      <c r="I64" s="76" t="inlineStr">
        <is>
          <t>পরীক্ষার ফি</t>
        </is>
      </c>
      <c r="J64" s="112">
        <f>SUMIF($C$4:$C$203,$I64,$E$4:$E$203)</f>
        <v/>
      </c>
      <c r="K64" s="113">
        <f>IFERROR($J64/$J$12,0)</f>
        <v/>
      </c>
    </row>
    <row r="65" ht="15.75" customHeight="1" s="52">
      <c r="A65" s="114" t="n"/>
      <c r="B65" s="76" t="n"/>
      <c r="C65" s="76" t="n"/>
      <c r="D65" s="109">
        <f t="array" ref="D65:D65">IFERROR(INDEX(GroupLookup,MATCH(C65,CategoryList,0)),"")</f>
        <v/>
      </c>
      <c r="E65" s="112" t="n"/>
      <c r="F65" s="76" t="n"/>
      <c r="G65" s="76" t="n"/>
      <c r="I65" s="75" t="inlineStr">
        <is>
          <t>পোশাক ও জুতা</t>
        </is>
      </c>
      <c r="J65" s="110">
        <f>SUMIF($C$4:$C$203,$I65,$E$4:$E$203)</f>
        <v/>
      </c>
      <c r="K65" s="111">
        <f>IFERROR($J65/$J$12,0)</f>
        <v/>
      </c>
    </row>
    <row r="66" ht="15.75" customHeight="1" s="52">
      <c r="A66" s="108" t="n"/>
      <c r="B66" s="75" t="n"/>
      <c r="C66" s="75" t="n"/>
      <c r="D66" s="109">
        <f t="array" ref="D66:D66">IFERROR(INDEX(GroupLookup,MATCH(C66,CategoryList,0)),"")</f>
        <v/>
      </c>
      <c r="E66" s="110" t="n"/>
      <c r="F66" s="75" t="n"/>
      <c r="G66" s="75" t="n"/>
      <c r="I66" s="76" t="inlineStr">
        <is>
          <t>প্রসাধনী ও পরিচর্যা</t>
        </is>
      </c>
      <c r="J66" s="112">
        <f>SUMIF($C$4:$C$203,$I66,$E$4:$E$203)</f>
        <v/>
      </c>
      <c r="K66" s="113">
        <f>IFERROR($J66/$J$12,0)</f>
        <v/>
      </c>
    </row>
    <row r="67" ht="15.75" customHeight="1" s="52">
      <c r="A67" s="114" t="n"/>
      <c r="B67" s="76" t="n"/>
      <c r="C67" s="76" t="n"/>
      <c r="D67" s="109">
        <f t="array" ref="D67:D67">IFERROR(INDEX(GroupLookup,MATCH(C67,CategoryList,0)),"")</f>
        <v/>
      </c>
      <c r="E67" s="112" t="n"/>
      <c r="F67" s="76" t="n"/>
      <c r="G67" s="76" t="n"/>
      <c r="I67" s="75" t="inlineStr">
        <is>
          <t>সাবান ও ডিটারজেন্ট</t>
        </is>
      </c>
      <c r="J67" s="110">
        <f>SUMIF($C$4:$C$203,$I67,$E$4:$E$203)</f>
        <v/>
      </c>
      <c r="K67" s="111">
        <f>IFERROR($J67/$J$12,0)</f>
        <v/>
      </c>
    </row>
    <row r="68" ht="15.75" customHeight="1" s="52">
      <c r="A68" s="108" t="n"/>
      <c r="B68" s="75" t="n"/>
      <c r="C68" s="75" t="n"/>
      <c r="D68" s="109">
        <f t="array" ref="D68:D68">IFERROR(INDEX(GroupLookup,MATCH(C68,CategoryList,0)),"")</f>
        <v/>
      </c>
      <c r="E68" s="110" t="n"/>
      <c r="F68" s="75" t="n"/>
      <c r="G68" s="75" t="n"/>
      <c r="I68" s="76" t="inlineStr">
        <is>
          <t>গৃহস্থালি সামগ্রী</t>
        </is>
      </c>
      <c r="J68" s="112">
        <f>SUMIF($C$4:$C$203,$I68,$E$4:$E$203)</f>
        <v/>
      </c>
      <c r="K68" s="113">
        <f>IFERROR($J68/$J$12,0)</f>
        <v/>
      </c>
    </row>
    <row r="69" ht="15.75" customHeight="1" s="52">
      <c r="A69" s="114" t="n"/>
      <c r="B69" s="76" t="n"/>
      <c r="C69" s="76" t="n"/>
      <c r="D69" s="109">
        <f t="array" ref="D69:D69">IFERROR(INDEX(GroupLookup,MATCH(C69,CategoryList,0)),"")</f>
        <v/>
      </c>
      <c r="E69" s="112" t="n"/>
      <c r="F69" s="76" t="n"/>
      <c r="G69" s="76" t="n"/>
      <c r="I69" s="75" t="inlineStr">
        <is>
          <t>সেলুন / পার্লার</t>
        </is>
      </c>
      <c r="J69" s="110">
        <f>SUMIF($C$4:$C$203,$I69,$E$4:$E$203)</f>
        <v/>
      </c>
      <c r="K69" s="111">
        <f>IFERROR($J69/$J$12,0)</f>
        <v/>
      </c>
    </row>
    <row r="70" ht="15.75" customHeight="1" s="52">
      <c r="A70" s="108" t="n"/>
      <c r="B70" s="75" t="n"/>
      <c r="C70" s="75" t="n"/>
      <c r="D70" s="109">
        <f t="array" ref="D70:D70">IFERROR(INDEX(GroupLookup,MATCH(C70,CategoryList,0)),"")</f>
        <v/>
      </c>
      <c r="E70" s="110" t="n"/>
      <c r="F70" s="75" t="n"/>
      <c r="G70" s="75" t="n"/>
      <c r="I70" s="76" t="inlineStr">
        <is>
          <t>বিনোদন ও ঘোরাঘুরি</t>
        </is>
      </c>
      <c r="J70" s="112">
        <f>SUMIF($C$4:$C$203,$I70,$E$4:$E$203)</f>
        <v/>
      </c>
      <c r="K70" s="113">
        <f>IFERROR($J70/$J$12,0)</f>
        <v/>
      </c>
    </row>
    <row r="71" ht="15.75" customHeight="1" s="52">
      <c r="A71" s="114" t="n"/>
      <c r="B71" s="76" t="n"/>
      <c r="C71" s="76" t="n"/>
      <c r="D71" s="109">
        <f t="array" ref="D71:D71">IFERROR(INDEX(GroupLookup,MATCH(C71,CategoryList,0)),"")</f>
        <v/>
      </c>
      <c r="E71" s="112" t="n"/>
      <c r="F71" s="76" t="n"/>
      <c r="G71" s="76" t="n"/>
      <c r="I71" s="75" t="inlineStr">
        <is>
          <t>উপহার ও অনুষ্ঠান</t>
        </is>
      </c>
      <c r="J71" s="110">
        <f>SUMIF($C$4:$C$203,$I71,$E$4:$E$203)</f>
        <v/>
      </c>
      <c r="K71" s="111">
        <f>IFERROR($J71/$J$12,0)</f>
        <v/>
      </c>
    </row>
    <row r="72" ht="15.75" customHeight="1" s="52">
      <c r="A72" s="108" t="n"/>
      <c r="B72" s="75" t="n"/>
      <c r="C72" s="75" t="n"/>
      <c r="D72" s="109">
        <f t="array" ref="D72:D72">IFERROR(INDEX(GroupLookup,MATCH(C72,CategoryList,0)),"")</f>
        <v/>
      </c>
      <c r="E72" s="110" t="n"/>
      <c r="F72" s="75" t="n"/>
      <c r="G72" s="75" t="n"/>
      <c r="I72" s="76" t="inlineStr">
        <is>
          <t>দান ও যাকাত</t>
        </is>
      </c>
      <c r="J72" s="112">
        <f>SUMIF($C$4:$C$203,$I72,$E$4:$E$203)</f>
        <v/>
      </c>
      <c r="K72" s="113">
        <f>IFERROR($J72/$J$12,0)</f>
        <v/>
      </c>
    </row>
    <row r="73" ht="15.75" customHeight="1" s="52">
      <c r="A73" s="114" t="n"/>
      <c r="B73" s="76" t="n"/>
      <c r="C73" s="76" t="n"/>
      <c r="D73" s="109">
        <f t="array" ref="D73:D73">IFERROR(INDEX(GroupLookup,MATCH(C73,CategoryList,0)),"")</f>
        <v/>
      </c>
      <c r="E73" s="112" t="n"/>
      <c r="F73" s="76" t="n"/>
      <c r="G73" s="76" t="n"/>
      <c r="I73" s="75" t="inlineStr">
        <is>
          <t>সঞ্চয় ও বিনিয়োগ</t>
        </is>
      </c>
      <c r="J73" s="110">
        <f>SUMIF($C$4:$C$203,$I73,$E$4:$E$203)</f>
        <v/>
      </c>
      <c r="K73" s="111">
        <f>IFERROR($J73/$J$12,0)</f>
        <v/>
      </c>
    </row>
    <row r="74" ht="15.75" customHeight="1" s="52">
      <c r="A74" s="108" t="n"/>
      <c r="B74" s="75" t="n"/>
      <c r="C74" s="75" t="n"/>
      <c r="D74" s="109">
        <f t="array" ref="D74:D74">IFERROR(INDEX(GroupLookup,MATCH(C74,CategoryList,0)),"")</f>
        <v/>
      </c>
      <c r="E74" s="110" t="n"/>
      <c r="F74" s="75" t="n"/>
      <c r="G74" s="75" t="n"/>
      <c r="I74" s="76" t="inlineStr">
        <is>
          <t>ঋণ পরিশোধ / কিস্তি</t>
        </is>
      </c>
      <c r="J74" s="112">
        <f>SUMIF($C$4:$C$203,$I74,$E$4:$E$203)</f>
        <v/>
      </c>
      <c r="K74" s="113">
        <f>IFERROR($J74/$J$12,0)</f>
        <v/>
      </c>
    </row>
    <row r="75" ht="15.75" customHeight="1" s="52">
      <c r="A75" s="114" t="n"/>
      <c r="B75" s="76" t="n"/>
      <c r="C75" s="76" t="n"/>
      <c r="D75" s="109">
        <f t="array" ref="D75:D75">IFERROR(INDEX(GroupLookup,MATCH(C75,CategoryList,0)),"")</f>
        <v/>
      </c>
      <c r="E75" s="112" t="n"/>
      <c r="F75" s="76" t="n"/>
      <c r="G75" s="76" t="n"/>
      <c r="I75" s="75" t="inlineStr">
        <is>
          <t>বীমা প্রিমিয়াম</t>
        </is>
      </c>
      <c r="J75" s="110">
        <f>SUMIF($C$4:$C$203,$I75,$E$4:$E$203)</f>
        <v/>
      </c>
      <c r="K75" s="111">
        <f>IFERROR($J75/$J$12,0)</f>
        <v/>
      </c>
    </row>
    <row r="76" ht="15.75" customHeight="1" s="52">
      <c r="A76" s="108" t="n"/>
      <c r="B76" s="75" t="n"/>
      <c r="C76" s="75" t="n"/>
      <c r="D76" s="109">
        <f t="array" ref="D76:D76">IFERROR(INDEX(GroupLookup,MATCH(C76,CategoryList,0)),"")</f>
        <v/>
      </c>
      <c r="E76" s="110" t="n"/>
      <c r="F76" s="75" t="n"/>
      <c r="G76" s="75" t="n"/>
      <c r="I76" s="76" t="inlineStr">
        <is>
          <t>অন্যান্য খরচ</t>
        </is>
      </c>
      <c r="J76" s="112">
        <f>SUMIF($C$4:$C$203,$I76,$E$4:$E$203)</f>
        <v/>
      </c>
      <c r="K76" s="113">
        <f>IFERROR($J76/$J$12,0)</f>
        <v/>
      </c>
    </row>
    <row r="77" ht="15.75" customHeight="1" s="52">
      <c r="A77" s="114" t="n"/>
      <c r="B77" s="76" t="n"/>
      <c r="C77" s="76" t="n"/>
      <c r="D77" s="109">
        <f t="array" ref="D77:D77">IFERROR(INDEX(GroupLookup,MATCH(C77,CategoryList,0)),"")</f>
        <v/>
      </c>
      <c r="E77" s="112" t="n"/>
      <c r="F77" s="76" t="n"/>
      <c r="G77" s="76" t="n"/>
      <c r="I77" s="72" t="inlineStr">
        <is>
          <t>সর্বমোট</t>
        </is>
      </c>
      <c r="J77" s="117">
        <f>SUM($J$23:$J$76)</f>
        <v/>
      </c>
      <c r="K77" s="118">
        <f>IFERROR($J$77/$J$12,0)</f>
        <v/>
      </c>
    </row>
    <row r="78" ht="15.75" customHeight="1" s="52">
      <c r="A78" s="108" t="n"/>
      <c r="B78" s="75" t="n"/>
      <c r="C78" s="75" t="n"/>
      <c r="D78" s="109">
        <f t="array" ref="D78:D78">IFERROR(INDEX(GroupLookup,MATCH(C78,CategoryList,0)),"")</f>
        <v/>
      </c>
      <c r="E78" s="110" t="n"/>
      <c r="F78" s="75" t="n"/>
      <c r="G78" s="75" t="n"/>
    </row>
    <row r="79" ht="15.75" customHeight="1" s="52">
      <c r="A79" s="114" t="n"/>
      <c r="B79" s="76" t="n"/>
      <c r="C79" s="76" t="n"/>
      <c r="D79" s="109">
        <f t="array" ref="D79:D79">IFERROR(INDEX(GroupLookup,MATCH(C79,CategoryList,0)),"")</f>
        <v/>
      </c>
      <c r="E79" s="112" t="n"/>
      <c r="F79" s="76" t="n"/>
      <c r="G79" s="76" t="n"/>
    </row>
    <row r="80" ht="15.75" customHeight="1" s="52">
      <c r="A80" s="108" t="n"/>
      <c r="B80" s="75" t="n"/>
      <c r="C80" s="75" t="n"/>
      <c r="D80" s="109">
        <f t="array" ref="D80:D80">IFERROR(INDEX(GroupLookup,MATCH(C80,CategoryList,0)),"")</f>
        <v/>
      </c>
      <c r="E80" s="110" t="n"/>
      <c r="F80" s="75" t="n"/>
      <c r="G80" s="75" t="n"/>
    </row>
    <row r="81" ht="15.75" customHeight="1" s="52">
      <c r="A81" s="114" t="n"/>
      <c r="B81" s="76" t="n"/>
      <c r="C81" s="76" t="n"/>
      <c r="D81" s="109">
        <f t="array" ref="D81:D81">IFERROR(INDEX(GroupLookup,MATCH(C81,CategoryList,0)),"")</f>
        <v/>
      </c>
      <c r="E81" s="112" t="n"/>
      <c r="F81" s="76" t="n"/>
      <c r="G81" s="76" t="n"/>
    </row>
    <row r="82" ht="15.75" customHeight="1" s="52">
      <c r="A82" s="108" t="n"/>
      <c r="B82" s="75" t="n"/>
      <c r="C82" s="75" t="n"/>
      <c r="D82" s="109">
        <f t="array" ref="D82:D82">IFERROR(INDEX(GroupLookup,MATCH(C82,CategoryList,0)),"")</f>
        <v/>
      </c>
      <c r="E82" s="110" t="n"/>
      <c r="F82" s="75" t="n"/>
      <c r="G82" s="75" t="n"/>
    </row>
    <row r="83" ht="15.75" customHeight="1" s="52">
      <c r="A83" s="114" t="n"/>
      <c r="B83" s="76" t="n"/>
      <c r="C83" s="76" t="n"/>
      <c r="D83" s="109">
        <f t="array" ref="D83:D83">IFERROR(INDEX(GroupLookup,MATCH(C83,CategoryList,0)),"")</f>
        <v/>
      </c>
      <c r="E83" s="112" t="n"/>
      <c r="F83" s="76" t="n"/>
      <c r="G83" s="76" t="n"/>
    </row>
    <row r="84" ht="15.75" customHeight="1" s="52">
      <c r="A84" s="108" t="n"/>
      <c r="B84" s="75" t="n"/>
      <c r="C84" s="75" t="n"/>
      <c r="D84" s="109">
        <f t="array" ref="D84:D84">IFERROR(INDEX(GroupLookup,MATCH(C84,CategoryList,0)),"")</f>
        <v/>
      </c>
      <c r="E84" s="110" t="n"/>
      <c r="F84" s="75" t="n"/>
      <c r="G84" s="75" t="n"/>
    </row>
    <row r="85" ht="15.75" customHeight="1" s="52">
      <c r="A85" s="114" t="n"/>
      <c r="B85" s="76" t="n"/>
      <c r="C85" s="76" t="n"/>
      <c r="D85" s="109">
        <f t="array" ref="D85:D85">IFERROR(INDEX(GroupLookup,MATCH(C85,CategoryList,0)),"")</f>
        <v/>
      </c>
      <c r="E85" s="112" t="n"/>
      <c r="F85" s="76" t="n"/>
      <c r="G85" s="76" t="n"/>
    </row>
    <row r="86" ht="15.75" customHeight="1" s="52">
      <c r="A86" s="108" t="n"/>
      <c r="B86" s="75" t="n"/>
      <c r="C86" s="75" t="n"/>
      <c r="D86" s="109">
        <f t="array" ref="D86:D86">IFERROR(INDEX(GroupLookup,MATCH(C86,CategoryList,0)),"")</f>
        <v/>
      </c>
      <c r="E86" s="110" t="n"/>
      <c r="F86" s="75" t="n"/>
      <c r="G86" s="75" t="n"/>
    </row>
    <row r="87" ht="15.75" customHeight="1" s="52">
      <c r="A87" s="114" t="n"/>
      <c r="B87" s="76" t="n"/>
      <c r="C87" s="76" t="n"/>
      <c r="D87" s="109">
        <f t="array" ref="D87:D87">IFERROR(INDEX(GroupLookup,MATCH(C87,CategoryList,0)),"")</f>
        <v/>
      </c>
      <c r="E87" s="112" t="n"/>
      <c r="F87" s="76" t="n"/>
      <c r="G87" s="76" t="n"/>
    </row>
    <row r="88" ht="15.75" customHeight="1" s="52">
      <c r="A88" s="108" t="n"/>
      <c r="B88" s="75" t="n"/>
      <c r="C88" s="75" t="n"/>
      <c r="D88" s="109">
        <f t="array" ref="D88:D88">IFERROR(INDEX(GroupLookup,MATCH(C88,CategoryList,0)),"")</f>
        <v/>
      </c>
      <c r="E88" s="110" t="n"/>
      <c r="F88" s="75" t="n"/>
      <c r="G88" s="75" t="n"/>
    </row>
    <row r="89" ht="15.75" customHeight="1" s="52">
      <c r="A89" s="114" t="n"/>
      <c r="B89" s="76" t="n"/>
      <c r="C89" s="76" t="n"/>
      <c r="D89" s="109">
        <f t="array" ref="D89:D89">IFERROR(INDEX(GroupLookup,MATCH(C89,CategoryList,0)),"")</f>
        <v/>
      </c>
      <c r="E89" s="112" t="n"/>
      <c r="F89" s="76" t="n"/>
      <c r="G89" s="76" t="n"/>
    </row>
    <row r="90" ht="15.75" customHeight="1" s="52">
      <c r="A90" s="108" t="n"/>
      <c r="B90" s="75" t="n"/>
      <c r="C90" s="75" t="n"/>
      <c r="D90" s="109">
        <f t="array" ref="D90:D90">IFERROR(INDEX(GroupLookup,MATCH(C90,CategoryList,0)),"")</f>
        <v/>
      </c>
      <c r="E90" s="110" t="n"/>
      <c r="F90" s="75" t="n"/>
      <c r="G90" s="75" t="n"/>
    </row>
    <row r="91" ht="15.75" customHeight="1" s="52">
      <c r="A91" s="114" t="n"/>
      <c r="B91" s="76" t="n"/>
      <c r="C91" s="76" t="n"/>
      <c r="D91" s="109">
        <f t="array" ref="D91:D91">IFERROR(INDEX(GroupLookup,MATCH(C91,CategoryList,0)),"")</f>
        <v/>
      </c>
      <c r="E91" s="112" t="n"/>
      <c r="F91" s="76" t="n"/>
      <c r="G91" s="76" t="n"/>
    </row>
    <row r="92" ht="15.75" customHeight="1" s="52">
      <c r="A92" s="108" t="n"/>
      <c r="B92" s="75" t="n"/>
      <c r="C92" s="75" t="n"/>
      <c r="D92" s="109">
        <f t="array" ref="D92:D92">IFERROR(INDEX(GroupLookup,MATCH(C92,CategoryList,0)),"")</f>
        <v/>
      </c>
      <c r="E92" s="110" t="n"/>
      <c r="F92" s="75" t="n"/>
      <c r="G92" s="75" t="n"/>
    </row>
    <row r="93" ht="15.75" customHeight="1" s="52">
      <c r="A93" s="114" t="n"/>
      <c r="B93" s="76" t="n"/>
      <c r="C93" s="76" t="n"/>
      <c r="D93" s="109">
        <f t="array" ref="D93:D93">IFERROR(INDEX(GroupLookup,MATCH(C93,CategoryList,0)),"")</f>
        <v/>
      </c>
      <c r="E93" s="112" t="n"/>
      <c r="F93" s="76" t="n"/>
      <c r="G93" s="76" t="n"/>
    </row>
    <row r="94" ht="15.75" customHeight="1" s="52">
      <c r="A94" s="108" t="n"/>
      <c r="B94" s="75" t="n"/>
      <c r="C94" s="75" t="n"/>
      <c r="D94" s="109">
        <f t="array" ref="D94:D94">IFERROR(INDEX(GroupLookup,MATCH(C94,CategoryList,0)),"")</f>
        <v/>
      </c>
      <c r="E94" s="110" t="n"/>
      <c r="F94" s="75" t="n"/>
      <c r="G94" s="75" t="n"/>
    </row>
    <row r="95" ht="15.75" customHeight="1" s="52">
      <c r="A95" s="114" t="n"/>
      <c r="B95" s="76" t="n"/>
      <c r="C95" s="76" t="n"/>
      <c r="D95" s="109">
        <f t="array" ref="D95:D95">IFERROR(INDEX(GroupLookup,MATCH(C95,CategoryList,0)),"")</f>
        <v/>
      </c>
      <c r="E95" s="112" t="n"/>
      <c r="F95" s="76" t="n"/>
      <c r="G95" s="76" t="n"/>
    </row>
    <row r="96" ht="15.75" customHeight="1" s="52">
      <c r="A96" s="108" t="n"/>
      <c r="B96" s="75" t="n"/>
      <c r="C96" s="75" t="n"/>
      <c r="D96" s="109">
        <f t="array" ref="D96:D96">IFERROR(INDEX(GroupLookup,MATCH(C96,CategoryList,0)),"")</f>
        <v/>
      </c>
      <c r="E96" s="110" t="n"/>
      <c r="F96" s="75" t="n"/>
      <c r="G96" s="75" t="n"/>
    </row>
    <row r="97" ht="15.75" customHeight="1" s="52">
      <c r="A97" s="114" t="n"/>
      <c r="B97" s="76" t="n"/>
      <c r="C97" s="76" t="n"/>
      <c r="D97" s="109">
        <f t="array" ref="D97:D97">IFERROR(INDEX(GroupLookup,MATCH(C97,CategoryList,0)),"")</f>
        <v/>
      </c>
      <c r="E97" s="112" t="n"/>
      <c r="F97" s="76" t="n"/>
      <c r="G97" s="76" t="n"/>
    </row>
    <row r="98" ht="15.75" customHeight="1" s="52">
      <c r="A98" s="108" t="n"/>
      <c r="B98" s="75" t="n"/>
      <c r="C98" s="75" t="n"/>
      <c r="D98" s="109">
        <f t="array" ref="D98:D98">IFERROR(INDEX(GroupLookup,MATCH(C98,CategoryList,0)),"")</f>
        <v/>
      </c>
      <c r="E98" s="110" t="n"/>
      <c r="F98" s="75" t="n"/>
      <c r="G98" s="75" t="n"/>
    </row>
    <row r="99" ht="15.75" customHeight="1" s="52">
      <c r="A99" s="114" t="n"/>
      <c r="B99" s="76" t="n"/>
      <c r="C99" s="76" t="n"/>
      <c r="D99" s="109">
        <f t="array" ref="D99:D99">IFERROR(INDEX(GroupLookup,MATCH(C99,CategoryList,0)),"")</f>
        <v/>
      </c>
      <c r="E99" s="112" t="n"/>
      <c r="F99" s="76" t="n"/>
      <c r="G99" s="76" t="n"/>
    </row>
    <row r="100" ht="15.75" customHeight="1" s="52">
      <c r="A100" s="108" t="n"/>
      <c r="B100" s="75" t="n"/>
      <c r="C100" s="75" t="n"/>
      <c r="D100" s="109">
        <f t="array" ref="D100:D100">IFERROR(INDEX(GroupLookup,MATCH(C100,CategoryList,0)),"")</f>
        <v/>
      </c>
      <c r="E100" s="110" t="n"/>
      <c r="F100" s="75" t="n"/>
      <c r="G100" s="75" t="n"/>
    </row>
    <row r="101" ht="15.75" customHeight="1" s="52">
      <c r="A101" s="114" t="n"/>
      <c r="B101" s="76" t="n"/>
      <c r="C101" s="76" t="n"/>
      <c r="D101" s="109">
        <f t="array" ref="D101:D101">IFERROR(INDEX(GroupLookup,MATCH(C101,CategoryList,0)),"")</f>
        <v/>
      </c>
      <c r="E101" s="112" t="n"/>
      <c r="F101" s="76" t="n"/>
      <c r="G101" s="76" t="n"/>
    </row>
    <row r="102" ht="15.75" customHeight="1" s="52">
      <c r="A102" s="108" t="n"/>
      <c r="B102" s="75" t="n"/>
      <c r="C102" s="75" t="n"/>
      <c r="D102" s="109">
        <f t="array" ref="D102:D102">IFERROR(INDEX(GroupLookup,MATCH(C102,CategoryList,0)),"")</f>
        <v/>
      </c>
      <c r="E102" s="110" t="n"/>
      <c r="F102" s="75" t="n"/>
      <c r="G102" s="75" t="n"/>
    </row>
    <row r="103" ht="15.75" customHeight="1" s="52">
      <c r="A103" s="114" t="n"/>
      <c r="B103" s="76" t="n"/>
      <c r="C103" s="76" t="n"/>
      <c r="D103" s="109">
        <f t="array" ref="D103:D103">IFERROR(INDEX(GroupLookup,MATCH(C103,CategoryList,0)),"")</f>
        <v/>
      </c>
      <c r="E103" s="112" t="n"/>
      <c r="F103" s="76" t="n"/>
      <c r="G103" s="76" t="n"/>
    </row>
    <row r="104" ht="15.75" customHeight="1" s="52">
      <c r="A104" s="108" t="n"/>
      <c r="B104" s="75" t="n"/>
      <c r="C104" s="75" t="n"/>
      <c r="D104" s="109">
        <f t="array" ref="D104:D104">IFERROR(INDEX(GroupLookup,MATCH(C104,CategoryList,0)),"")</f>
        <v/>
      </c>
      <c r="E104" s="110" t="n"/>
      <c r="F104" s="75" t="n"/>
      <c r="G104" s="75" t="n"/>
    </row>
    <row r="105" ht="15.75" customHeight="1" s="52">
      <c r="A105" s="114" t="n"/>
      <c r="B105" s="76" t="n"/>
      <c r="C105" s="76" t="n"/>
      <c r="D105" s="109">
        <f t="array" ref="D105:D105">IFERROR(INDEX(GroupLookup,MATCH(C105,CategoryList,0)),"")</f>
        <v/>
      </c>
      <c r="E105" s="112" t="n"/>
      <c r="F105" s="76" t="n"/>
      <c r="G105" s="76" t="n"/>
    </row>
    <row r="106" ht="15.75" customHeight="1" s="52">
      <c r="A106" s="108" t="n"/>
      <c r="B106" s="75" t="n"/>
      <c r="C106" s="75" t="n"/>
      <c r="D106" s="109">
        <f t="array" ref="D106:D106">IFERROR(INDEX(GroupLookup,MATCH(C106,CategoryList,0)),"")</f>
        <v/>
      </c>
      <c r="E106" s="110" t="n"/>
      <c r="F106" s="75" t="n"/>
      <c r="G106" s="75" t="n"/>
    </row>
    <row r="107" ht="15.75" customHeight="1" s="52">
      <c r="A107" s="114" t="n"/>
      <c r="B107" s="76" t="n"/>
      <c r="C107" s="76" t="n"/>
      <c r="D107" s="109">
        <f t="array" ref="D107:D107">IFERROR(INDEX(GroupLookup,MATCH(C107,CategoryList,0)),"")</f>
        <v/>
      </c>
      <c r="E107" s="112" t="n"/>
      <c r="F107" s="76" t="n"/>
      <c r="G107" s="76" t="n"/>
    </row>
    <row r="108" ht="15.75" customHeight="1" s="52">
      <c r="A108" s="108" t="n"/>
      <c r="B108" s="75" t="n"/>
      <c r="C108" s="75" t="n"/>
      <c r="D108" s="109">
        <f t="array" ref="D108:D108">IFERROR(INDEX(GroupLookup,MATCH(C108,CategoryList,0)),"")</f>
        <v/>
      </c>
      <c r="E108" s="110" t="n"/>
      <c r="F108" s="75" t="n"/>
      <c r="G108" s="75" t="n"/>
    </row>
    <row r="109" ht="15.75" customHeight="1" s="52">
      <c r="A109" s="114" t="n"/>
      <c r="B109" s="76" t="n"/>
      <c r="C109" s="76" t="n"/>
      <c r="D109" s="109">
        <f t="array" ref="D109:D109">IFERROR(INDEX(GroupLookup,MATCH(C109,CategoryList,0)),"")</f>
        <v/>
      </c>
      <c r="E109" s="112" t="n"/>
      <c r="F109" s="76" t="n"/>
      <c r="G109" s="76" t="n"/>
    </row>
    <row r="110" ht="15.75" customHeight="1" s="52">
      <c r="A110" s="108" t="n"/>
      <c r="B110" s="75" t="n"/>
      <c r="C110" s="75" t="n"/>
      <c r="D110" s="109">
        <f t="array" ref="D110:D110">IFERROR(INDEX(GroupLookup,MATCH(C110,CategoryList,0)),"")</f>
        <v/>
      </c>
      <c r="E110" s="110" t="n"/>
      <c r="F110" s="75" t="n"/>
      <c r="G110" s="75" t="n"/>
    </row>
    <row r="111" ht="15.75" customHeight="1" s="52">
      <c r="A111" s="114" t="n"/>
      <c r="B111" s="76" t="n"/>
      <c r="C111" s="76" t="n"/>
      <c r="D111" s="109">
        <f t="array" ref="D111:D111">IFERROR(INDEX(GroupLookup,MATCH(C111,CategoryList,0)),"")</f>
        <v/>
      </c>
      <c r="E111" s="112" t="n"/>
      <c r="F111" s="76" t="n"/>
      <c r="G111" s="76" t="n"/>
    </row>
    <row r="112" ht="15.75" customHeight="1" s="52">
      <c r="A112" s="108" t="n"/>
      <c r="B112" s="75" t="n"/>
      <c r="C112" s="75" t="n"/>
      <c r="D112" s="109">
        <f t="array" ref="D112:D112">IFERROR(INDEX(GroupLookup,MATCH(C112,CategoryList,0)),"")</f>
        <v/>
      </c>
      <c r="E112" s="110" t="n"/>
      <c r="F112" s="75" t="n"/>
      <c r="G112" s="75" t="n"/>
    </row>
    <row r="113" ht="15.75" customHeight="1" s="52">
      <c r="A113" s="114" t="n"/>
      <c r="B113" s="76" t="n"/>
      <c r="C113" s="76" t="n"/>
      <c r="D113" s="109">
        <f t="array" ref="D113:D113">IFERROR(INDEX(GroupLookup,MATCH(C113,CategoryList,0)),"")</f>
        <v/>
      </c>
      <c r="E113" s="112" t="n"/>
      <c r="F113" s="76" t="n"/>
      <c r="G113" s="76" t="n"/>
    </row>
    <row r="114" ht="15.75" customHeight="1" s="52">
      <c r="A114" s="108" t="n"/>
      <c r="B114" s="75" t="n"/>
      <c r="C114" s="75" t="n"/>
      <c r="D114" s="109">
        <f t="array" ref="D114:D114">IFERROR(INDEX(GroupLookup,MATCH(C114,CategoryList,0)),"")</f>
        <v/>
      </c>
      <c r="E114" s="110" t="n"/>
      <c r="F114" s="75" t="n"/>
      <c r="G114" s="75" t="n"/>
    </row>
    <row r="115" ht="15.75" customHeight="1" s="52">
      <c r="A115" s="114" t="n"/>
      <c r="B115" s="76" t="n"/>
      <c r="C115" s="76" t="n"/>
      <c r="D115" s="109">
        <f t="array" ref="D115:D115">IFERROR(INDEX(GroupLookup,MATCH(C115,CategoryList,0)),"")</f>
        <v/>
      </c>
      <c r="E115" s="112" t="n"/>
      <c r="F115" s="76" t="n"/>
      <c r="G115" s="76" t="n"/>
    </row>
    <row r="116" ht="15.75" customHeight="1" s="52">
      <c r="A116" s="108" t="n"/>
      <c r="B116" s="75" t="n"/>
      <c r="C116" s="75" t="n"/>
      <c r="D116" s="109">
        <f t="array" ref="D116:D116">IFERROR(INDEX(GroupLookup,MATCH(C116,CategoryList,0)),"")</f>
        <v/>
      </c>
      <c r="E116" s="110" t="n"/>
      <c r="F116" s="75" t="n"/>
      <c r="G116" s="75" t="n"/>
    </row>
    <row r="117" ht="15.75" customHeight="1" s="52">
      <c r="A117" s="114" t="n"/>
      <c r="B117" s="76" t="n"/>
      <c r="C117" s="76" t="n"/>
      <c r="D117" s="109">
        <f t="array" ref="D117:D117">IFERROR(INDEX(GroupLookup,MATCH(C117,CategoryList,0)),"")</f>
        <v/>
      </c>
      <c r="E117" s="112" t="n"/>
      <c r="F117" s="76" t="n"/>
      <c r="G117" s="76" t="n"/>
    </row>
    <row r="118" ht="15.75" customHeight="1" s="52">
      <c r="A118" s="108" t="n"/>
      <c r="B118" s="75" t="n"/>
      <c r="C118" s="75" t="n"/>
      <c r="D118" s="109">
        <f t="array" ref="D118:D118">IFERROR(INDEX(GroupLookup,MATCH(C118,CategoryList,0)),"")</f>
        <v/>
      </c>
      <c r="E118" s="110" t="n"/>
      <c r="F118" s="75" t="n"/>
      <c r="G118" s="75" t="n"/>
    </row>
    <row r="119" ht="15.75" customHeight="1" s="52">
      <c r="A119" s="114" t="n"/>
      <c r="B119" s="76" t="n"/>
      <c r="C119" s="76" t="n"/>
      <c r="D119" s="109">
        <f t="array" ref="D119:D119">IFERROR(INDEX(GroupLookup,MATCH(C119,CategoryList,0)),"")</f>
        <v/>
      </c>
      <c r="E119" s="112" t="n"/>
      <c r="F119" s="76" t="n"/>
      <c r="G119" s="76" t="n"/>
    </row>
    <row r="120" ht="15.75" customHeight="1" s="52">
      <c r="A120" s="108" t="n"/>
      <c r="B120" s="75" t="n"/>
      <c r="C120" s="75" t="n"/>
      <c r="D120" s="109">
        <f t="array" ref="D120:D120">IFERROR(INDEX(GroupLookup,MATCH(C120,CategoryList,0)),"")</f>
        <v/>
      </c>
      <c r="E120" s="110" t="n"/>
      <c r="F120" s="75" t="n"/>
      <c r="G120" s="75" t="n"/>
    </row>
    <row r="121" ht="15.75" customHeight="1" s="52">
      <c r="A121" s="114" t="n"/>
      <c r="B121" s="76" t="n"/>
      <c r="C121" s="76" t="n"/>
      <c r="D121" s="109">
        <f t="array" ref="D121:D121">IFERROR(INDEX(GroupLookup,MATCH(C121,CategoryList,0)),"")</f>
        <v/>
      </c>
      <c r="E121" s="112" t="n"/>
      <c r="F121" s="76" t="n"/>
      <c r="G121" s="76" t="n"/>
    </row>
    <row r="122" ht="15.75" customHeight="1" s="52">
      <c r="A122" s="108" t="n"/>
      <c r="B122" s="75" t="n"/>
      <c r="C122" s="75" t="n"/>
      <c r="D122" s="109">
        <f t="array" ref="D122:D122">IFERROR(INDEX(GroupLookup,MATCH(C122,CategoryList,0)),"")</f>
        <v/>
      </c>
      <c r="E122" s="110" t="n"/>
      <c r="F122" s="75" t="n"/>
      <c r="G122" s="75" t="n"/>
    </row>
    <row r="123" ht="15.75" customHeight="1" s="52">
      <c r="A123" s="114" t="n"/>
      <c r="B123" s="76" t="n"/>
      <c r="C123" s="76" t="n"/>
      <c r="D123" s="109">
        <f t="array" ref="D123:D123">IFERROR(INDEX(GroupLookup,MATCH(C123,CategoryList,0)),"")</f>
        <v/>
      </c>
      <c r="E123" s="112" t="n"/>
      <c r="F123" s="76" t="n"/>
      <c r="G123" s="76" t="n"/>
    </row>
    <row r="124" ht="15.75" customHeight="1" s="52">
      <c r="A124" s="108" t="n"/>
      <c r="B124" s="75" t="n"/>
      <c r="C124" s="75" t="n"/>
      <c r="D124" s="109">
        <f t="array" ref="D124:D124">IFERROR(INDEX(GroupLookup,MATCH(C124,CategoryList,0)),"")</f>
        <v/>
      </c>
      <c r="E124" s="110" t="n"/>
      <c r="F124" s="75" t="n"/>
      <c r="G124" s="75" t="n"/>
    </row>
    <row r="125" ht="15.75" customHeight="1" s="52">
      <c r="A125" s="114" t="n"/>
      <c r="B125" s="76" t="n"/>
      <c r="C125" s="76" t="n"/>
      <c r="D125" s="109">
        <f t="array" ref="D125:D125">IFERROR(INDEX(GroupLookup,MATCH(C125,CategoryList,0)),"")</f>
        <v/>
      </c>
      <c r="E125" s="112" t="n"/>
      <c r="F125" s="76" t="n"/>
      <c r="G125" s="76" t="n"/>
    </row>
    <row r="126" ht="15.75" customHeight="1" s="52">
      <c r="A126" s="108" t="n"/>
      <c r="B126" s="75" t="n"/>
      <c r="C126" s="75" t="n"/>
      <c r="D126" s="109">
        <f t="array" ref="D126:D126">IFERROR(INDEX(GroupLookup,MATCH(C126,CategoryList,0)),"")</f>
        <v/>
      </c>
      <c r="E126" s="110" t="n"/>
      <c r="F126" s="75" t="n"/>
      <c r="G126" s="75" t="n"/>
    </row>
    <row r="127" ht="15.75" customHeight="1" s="52">
      <c r="A127" s="114" t="n"/>
      <c r="B127" s="76" t="n"/>
      <c r="C127" s="76" t="n"/>
      <c r="D127" s="109">
        <f t="array" ref="D127:D127">IFERROR(INDEX(GroupLookup,MATCH(C127,CategoryList,0)),"")</f>
        <v/>
      </c>
      <c r="E127" s="112" t="n"/>
      <c r="F127" s="76" t="n"/>
      <c r="G127" s="76" t="n"/>
    </row>
    <row r="128" ht="15.75" customHeight="1" s="52">
      <c r="A128" s="108" t="n"/>
      <c r="B128" s="75" t="n"/>
      <c r="C128" s="75" t="n"/>
      <c r="D128" s="109">
        <f t="array" ref="D128:D128">IFERROR(INDEX(GroupLookup,MATCH(C128,CategoryList,0)),"")</f>
        <v/>
      </c>
      <c r="E128" s="110" t="n"/>
      <c r="F128" s="75" t="n"/>
      <c r="G128" s="75" t="n"/>
    </row>
    <row r="129" ht="15.75" customHeight="1" s="52">
      <c r="A129" s="114" t="n"/>
      <c r="B129" s="76" t="n"/>
      <c r="C129" s="76" t="n"/>
      <c r="D129" s="109">
        <f t="array" ref="D129:D129">IFERROR(INDEX(GroupLookup,MATCH(C129,CategoryList,0)),"")</f>
        <v/>
      </c>
      <c r="E129" s="112" t="n"/>
      <c r="F129" s="76" t="n"/>
      <c r="G129" s="76" t="n"/>
    </row>
    <row r="130" ht="15.75" customHeight="1" s="52">
      <c r="A130" s="108" t="n"/>
      <c r="B130" s="75" t="n"/>
      <c r="C130" s="75" t="n"/>
      <c r="D130" s="109">
        <f t="array" ref="D130:D130">IFERROR(INDEX(GroupLookup,MATCH(C130,CategoryList,0)),"")</f>
        <v/>
      </c>
      <c r="E130" s="110" t="n"/>
      <c r="F130" s="75" t="n"/>
      <c r="G130" s="75" t="n"/>
    </row>
    <row r="131" ht="15.75" customHeight="1" s="52">
      <c r="A131" s="114" t="n"/>
      <c r="B131" s="76" t="n"/>
      <c r="C131" s="76" t="n"/>
      <c r="D131" s="109">
        <f t="array" ref="D131:D131">IFERROR(INDEX(GroupLookup,MATCH(C131,CategoryList,0)),"")</f>
        <v/>
      </c>
      <c r="E131" s="112" t="n"/>
      <c r="F131" s="76" t="n"/>
      <c r="G131" s="76" t="n"/>
    </row>
    <row r="132" ht="15.75" customHeight="1" s="52">
      <c r="A132" s="108" t="n"/>
      <c r="B132" s="75" t="n"/>
      <c r="C132" s="75" t="n"/>
      <c r="D132" s="109">
        <f t="array" ref="D132:D132">IFERROR(INDEX(GroupLookup,MATCH(C132,CategoryList,0)),"")</f>
        <v/>
      </c>
      <c r="E132" s="110" t="n"/>
      <c r="F132" s="75" t="n"/>
      <c r="G132" s="75" t="n"/>
    </row>
    <row r="133" ht="15.75" customHeight="1" s="52">
      <c r="A133" s="114" t="n"/>
      <c r="B133" s="76" t="n"/>
      <c r="C133" s="76" t="n"/>
      <c r="D133" s="109">
        <f t="array" ref="D133:D133">IFERROR(INDEX(GroupLookup,MATCH(C133,CategoryList,0)),"")</f>
        <v/>
      </c>
      <c r="E133" s="112" t="n"/>
      <c r="F133" s="76" t="n"/>
      <c r="G133" s="76" t="n"/>
    </row>
    <row r="134" ht="15.75" customHeight="1" s="52">
      <c r="A134" s="108" t="n"/>
      <c r="B134" s="75" t="n"/>
      <c r="C134" s="75" t="n"/>
      <c r="D134" s="109">
        <f t="array" ref="D134:D134">IFERROR(INDEX(GroupLookup,MATCH(C134,CategoryList,0)),"")</f>
        <v/>
      </c>
      <c r="E134" s="110" t="n"/>
      <c r="F134" s="75" t="n"/>
      <c r="G134" s="75" t="n"/>
    </row>
    <row r="135" ht="15.75" customHeight="1" s="52">
      <c r="A135" s="114" t="n"/>
      <c r="B135" s="76" t="n"/>
      <c r="C135" s="76" t="n"/>
      <c r="D135" s="109">
        <f t="array" ref="D135:D135">IFERROR(INDEX(GroupLookup,MATCH(C135,CategoryList,0)),"")</f>
        <v/>
      </c>
      <c r="E135" s="112" t="n"/>
      <c r="F135" s="76" t="n"/>
      <c r="G135" s="76" t="n"/>
    </row>
    <row r="136" ht="15.75" customHeight="1" s="52">
      <c r="A136" s="108" t="n"/>
      <c r="B136" s="75" t="n"/>
      <c r="C136" s="75" t="n"/>
      <c r="D136" s="109">
        <f t="array" ref="D136:D136">IFERROR(INDEX(GroupLookup,MATCH(C136,CategoryList,0)),"")</f>
        <v/>
      </c>
      <c r="E136" s="110" t="n"/>
      <c r="F136" s="75" t="n"/>
      <c r="G136" s="75" t="n"/>
    </row>
    <row r="137" ht="15.75" customHeight="1" s="52">
      <c r="A137" s="114" t="n"/>
      <c r="B137" s="76" t="n"/>
      <c r="C137" s="76" t="n"/>
      <c r="D137" s="109">
        <f t="array" ref="D137:D137">IFERROR(INDEX(GroupLookup,MATCH(C137,CategoryList,0)),"")</f>
        <v/>
      </c>
      <c r="E137" s="112" t="n"/>
      <c r="F137" s="76" t="n"/>
      <c r="G137" s="76" t="n"/>
    </row>
    <row r="138" ht="15.75" customHeight="1" s="52">
      <c r="A138" s="108" t="n"/>
      <c r="B138" s="75" t="n"/>
      <c r="C138" s="75" t="n"/>
      <c r="D138" s="109">
        <f t="array" ref="D138:D138">IFERROR(INDEX(GroupLookup,MATCH(C138,CategoryList,0)),"")</f>
        <v/>
      </c>
      <c r="E138" s="110" t="n"/>
      <c r="F138" s="75" t="n"/>
      <c r="G138" s="75" t="n"/>
    </row>
    <row r="139" ht="15.75" customHeight="1" s="52">
      <c r="A139" s="114" t="n"/>
      <c r="B139" s="76" t="n"/>
      <c r="C139" s="76" t="n"/>
      <c r="D139" s="109">
        <f t="array" ref="D139:D139">IFERROR(INDEX(GroupLookup,MATCH(C139,CategoryList,0)),"")</f>
        <v/>
      </c>
      <c r="E139" s="112" t="n"/>
      <c r="F139" s="76" t="n"/>
      <c r="G139" s="76" t="n"/>
    </row>
    <row r="140" ht="15.75" customHeight="1" s="52">
      <c r="A140" s="108" t="n"/>
      <c r="B140" s="75" t="n"/>
      <c r="C140" s="75" t="n"/>
      <c r="D140" s="109">
        <f t="array" ref="D140:D140">IFERROR(INDEX(GroupLookup,MATCH(C140,CategoryList,0)),"")</f>
        <v/>
      </c>
      <c r="E140" s="110" t="n"/>
      <c r="F140" s="75" t="n"/>
      <c r="G140" s="75" t="n"/>
    </row>
    <row r="141" ht="15.75" customHeight="1" s="52">
      <c r="A141" s="114" t="n"/>
      <c r="B141" s="76" t="n"/>
      <c r="C141" s="76" t="n"/>
      <c r="D141" s="109">
        <f t="array" ref="D141:D141">IFERROR(INDEX(GroupLookup,MATCH(C141,CategoryList,0)),"")</f>
        <v/>
      </c>
      <c r="E141" s="112" t="n"/>
      <c r="F141" s="76" t="n"/>
      <c r="G141" s="76" t="n"/>
    </row>
    <row r="142" ht="15.75" customHeight="1" s="52">
      <c r="A142" s="108" t="n"/>
      <c r="B142" s="75" t="n"/>
      <c r="C142" s="75" t="n"/>
      <c r="D142" s="109">
        <f t="array" ref="D142:D142">IFERROR(INDEX(GroupLookup,MATCH(C142,CategoryList,0)),"")</f>
        <v/>
      </c>
      <c r="E142" s="110" t="n"/>
      <c r="F142" s="75" t="n"/>
      <c r="G142" s="75" t="n"/>
    </row>
    <row r="143" ht="15.75" customHeight="1" s="52">
      <c r="A143" s="114" t="n"/>
      <c r="B143" s="76" t="n"/>
      <c r="C143" s="76" t="n"/>
      <c r="D143" s="109">
        <f t="array" ref="D143:D143">IFERROR(INDEX(GroupLookup,MATCH(C143,CategoryList,0)),"")</f>
        <v/>
      </c>
      <c r="E143" s="112" t="n"/>
      <c r="F143" s="76" t="n"/>
      <c r="G143" s="76" t="n"/>
    </row>
    <row r="144" ht="15.75" customHeight="1" s="52">
      <c r="A144" s="108" t="n"/>
      <c r="B144" s="75" t="n"/>
      <c r="C144" s="75" t="n"/>
      <c r="D144" s="109">
        <f t="array" ref="D144:D144">IFERROR(INDEX(GroupLookup,MATCH(C144,CategoryList,0)),"")</f>
        <v/>
      </c>
      <c r="E144" s="110" t="n"/>
      <c r="F144" s="75" t="n"/>
      <c r="G144" s="75" t="n"/>
    </row>
    <row r="145" ht="15.75" customHeight="1" s="52">
      <c r="A145" s="114" t="n"/>
      <c r="B145" s="76" t="n"/>
      <c r="C145" s="76" t="n"/>
      <c r="D145" s="109">
        <f t="array" ref="D145:D145">IFERROR(INDEX(GroupLookup,MATCH(C145,CategoryList,0)),"")</f>
        <v/>
      </c>
      <c r="E145" s="112" t="n"/>
      <c r="F145" s="76" t="n"/>
      <c r="G145" s="76" t="n"/>
    </row>
    <row r="146" ht="15.75" customHeight="1" s="52">
      <c r="A146" s="108" t="n"/>
      <c r="B146" s="75" t="n"/>
      <c r="C146" s="75" t="n"/>
      <c r="D146" s="109">
        <f t="array" ref="D146:D146">IFERROR(INDEX(GroupLookup,MATCH(C146,CategoryList,0)),"")</f>
        <v/>
      </c>
      <c r="E146" s="110" t="n"/>
      <c r="F146" s="75" t="n"/>
      <c r="G146" s="75" t="n"/>
    </row>
    <row r="147" ht="15.75" customHeight="1" s="52">
      <c r="A147" s="114" t="n"/>
      <c r="B147" s="76" t="n"/>
      <c r="C147" s="76" t="n"/>
      <c r="D147" s="109">
        <f t="array" ref="D147:D147">IFERROR(INDEX(GroupLookup,MATCH(C147,CategoryList,0)),"")</f>
        <v/>
      </c>
      <c r="E147" s="112" t="n"/>
      <c r="F147" s="76" t="n"/>
      <c r="G147" s="76" t="n"/>
    </row>
    <row r="148" ht="15.75" customHeight="1" s="52">
      <c r="A148" s="108" t="n"/>
      <c r="B148" s="75" t="n"/>
      <c r="C148" s="75" t="n"/>
      <c r="D148" s="109">
        <f t="array" ref="D148:D148">IFERROR(INDEX(GroupLookup,MATCH(C148,CategoryList,0)),"")</f>
        <v/>
      </c>
      <c r="E148" s="110" t="n"/>
      <c r="F148" s="75" t="n"/>
      <c r="G148" s="75" t="n"/>
    </row>
    <row r="149" ht="15.75" customHeight="1" s="52">
      <c r="A149" s="114" t="n"/>
      <c r="B149" s="76" t="n"/>
      <c r="C149" s="76" t="n"/>
      <c r="D149" s="109">
        <f t="array" ref="D149:D149">IFERROR(INDEX(GroupLookup,MATCH(C149,CategoryList,0)),"")</f>
        <v/>
      </c>
      <c r="E149" s="112" t="n"/>
      <c r="F149" s="76" t="n"/>
      <c r="G149" s="76" t="n"/>
    </row>
    <row r="150" ht="15.75" customHeight="1" s="52">
      <c r="A150" s="108" t="n"/>
      <c r="B150" s="75" t="n"/>
      <c r="C150" s="75" t="n"/>
      <c r="D150" s="109">
        <f t="array" ref="D150:D150">IFERROR(INDEX(GroupLookup,MATCH(C150,CategoryList,0)),"")</f>
        <v/>
      </c>
      <c r="E150" s="110" t="n"/>
      <c r="F150" s="75" t="n"/>
      <c r="G150" s="75" t="n"/>
    </row>
    <row r="151" ht="15.75" customHeight="1" s="52">
      <c r="A151" s="114" t="n"/>
      <c r="B151" s="76" t="n"/>
      <c r="C151" s="76" t="n"/>
      <c r="D151" s="109">
        <f t="array" ref="D151:D151">IFERROR(INDEX(GroupLookup,MATCH(C151,CategoryList,0)),"")</f>
        <v/>
      </c>
      <c r="E151" s="112" t="n"/>
      <c r="F151" s="76" t="n"/>
      <c r="G151" s="76" t="n"/>
    </row>
    <row r="152" ht="15.75" customHeight="1" s="52">
      <c r="A152" s="108" t="n"/>
      <c r="B152" s="75" t="n"/>
      <c r="C152" s="75" t="n"/>
      <c r="D152" s="109">
        <f t="array" ref="D152:D152">IFERROR(INDEX(GroupLookup,MATCH(C152,CategoryList,0)),"")</f>
        <v/>
      </c>
      <c r="E152" s="110" t="n"/>
      <c r="F152" s="75" t="n"/>
      <c r="G152" s="75" t="n"/>
    </row>
    <row r="153" ht="15.75" customHeight="1" s="52">
      <c r="A153" s="114" t="n"/>
      <c r="B153" s="76" t="n"/>
      <c r="C153" s="76" t="n"/>
      <c r="D153" s="109">
        <f t="array" ref="D153:D153">IFERROR(INDEX(GroupLookup,MATCH(C153,CategoryList,0)),"")</f>
        <v/>
      </c>
      <c r="E153" s="112" t="n"/>
      <c r="F153" s="76" t="n"/>
      <c r="G153" s="76" t="n"/>
    </row>
    <row r="154" ht="15.75" customHeight="1" s="52">
      <c r="A154" s="108" t="n"/>
      <c r="B154" s="75" t="n"/>
      <c r="C154" s="75" t="n"/>
      <c r="D154" s="109">
        <f t="array" ref="D154:D154">IFERROR(INDEX(GroupLookup,MATCH(C154,CategoryList,0)),"")</f>
        <v/>
      </c>
      <c r="E154" s="110" t="n"/>
      <c r="F154" s="75" t="n"/>
      <c r="G154" s="75" t="n"/>
    </row>
    <row r="155" ht="15.75" customHeight="1" s="52">
      <c r="A155" s="114" t="n"/>
      <c r="B155" s="76" t="n"/>
      <c r="C155" s="76" t="n"/>
      <c r="D155" s="109">
        <f t="array" ref="D155:D155">IFERROR(INDEX(GroupLookup,MATCH(C155,CategoryList,0)),"")</f>
        <v/>
      </c>
      <c r="E155" s="112" t="n"/>
      <c r="F155" s="76" t="n"/>
      <c r="G155" s="76" t="n"/>
    </row>
    <row r="156" ht="15.75" customHeight="1" s="52">
      <c r="A156" s="108" t="n"/>
      <c r="B156" s="75" t="n"/>
      <c r="C156" s="75" t="n"/>
      <c r="D156" s="109">
        <f t="array" ref="D156:D156">IFERROR(INDEX(GroupLookup,MATCH(C156,CategoryList,0)),"")</f>
        <v/>
      </c>
      <c r="E156" s="110" t="n"/>
      <c r="F156" s="75" t="n"/>
      <c r="G156" s="75" t="n"/>
    </row>
    <row r="157" ht="15.75" customHeight="1" s="52">
      <c r="A157" s="114" t="n"/>
      <c r="B157" s="76" t="n"/>
      <c r="C157" s="76" t="n"/>
      <c r="D157" s="109">
        <f t="array" ref="D157:D157">IFERROR(INDEX(GroupLookup,MATCH(C157,CategoryList,0)),"")</f>
        <v/>
      </c>
      <c r="E157" s="112" t="n"/>
      <c r="F157" s="76" t="n"/>
      <c r="G157" s="76" t="n"/>
    </row>
    <row r="158" ht="15.75" customHeight="1" s="52">
      <c r="A158" s="108" t="n"/>
      <c r="B158" s="75" t="n"/>
      <c r="C158" s="75" t="n"/>
      <c r="D158" s="109">
        <f t="array" ref="D158:D158">IFERROR(INDEX(GroupLookup,MATCH(C158,CategoryList,0)),"")</f>
        <v/>
      </c>
      <c r="E158" s="110" t="n"/>
      <c r="F158" s="75" t="n"/>
      <c r="G158" s="75" t="n"/>
    </row>
    <row r="159" ht="15.75" customHeight="1" s="52">
      <c r="A159" s="114" t="n"/>
      <c r="B159" s="76" t="n"/>
      <c r="C159" s="76" t="n"/>
      <c r="D159" s="109">
        <f t="array" ref="D159:D159">IFERROR(INDEX(GroupLookup,MATCH(C159,CategoryList,0)),"")</f>
        <v/>
      </c>
      <c r="E159" s="112" t="n"/>
      <c r="F159" s="76" t="n"/>
      <c r="G159" s="76" t="n"/>
    </row>
    <row r="160" ht="15.75" customHeight="1" s="52">
      <c r="A160" s="108" t="n"/>
      <c r="B160" s="75" t="n"/>
      <c r="C160" s="75" t="n"/>
      <c r="D160" s="109">
        <f t="array" ref="D160:D160">IFERROR(INDEX(GroupLookup,MATCH(C160,CategoryList,0)),"")</f>
        <v/>
      </c>
      <c r="E160" s="110" t="n"/>
      <c r="F160" s="75" t="n"/>
      <c r="G160" s="75" t="n"/>
    </row>
    <row r="161" ht="15.75" customHeight="1" s="52">
      <c r="A161" s="114" t="n"/>
      <c r="B161" s="76" t="n"/>
      <c r="C161" s="76" t="n"/>
      <c r="D161" s="109">
        <f t="array" ref="D161:D161">IFERROR(INDEX(GroupLookup,MATCH(C161,CategoryList,0)),"")</f>
        <v/>
      </c>
      <c r="E161" s="112" t="n"/>
      <c r="F161" s="76" t="n"/>
      <c r="G161" s="76" t="n"/>
    </row>
    <row r="162" ht="15.75" customHeight="1" s="52">
      <c r="A162" s="108" t="n"/>
      <c r="B162" s="75" t="n"/>
      <c r="C162" s="75" t="n"/>
      <c r="D162" s="109">
        <f t="array" ref="D162:D162">IFERROR(INDEX(GroupLookup,MATCH(C162,CategoryList,0)),"")</f>
        <v/>
      </c>
      <c r="E162" s="110" t="n"/>
      <c r="F162" s="75" t="n"/>
      <c r="G162" s="75" t="n"/>
    </row>
    <row r="163" ht="15.75" customHeight="1" s="52">
      <c r="A163" s="114" t="n"/>
      <c r="B163" s="76" t="n"/>
      <c r="C163" s="76" t="n"/>
      <c r="D163" s="109">
        <f t="array" ref="D163:D163">IFERROR(INDEX(GroupLookup,MATCH(C163,CategoryList,0)),"")</f>
        <v/>
      </c>
      <c r="E163" s="112" t="n"/>
      <c r="F163" s="76" t="n"/>
      <c r="G163" s="76" t="n"/>
    </row>
    <row r="164" ht="15.75" customHeight="1" s="52">
      <c r="A164" s="108" t="n"/>
      <c r="B164" s="75" t="n"/>
      <c r="C164" s="75" t="n"/>
      <c r="D164" s="109">
        <f t="array" ref="D164:D164">IFERROR(INDEX(GroupLookup,MATCH(C164,CategoryList,0)),"")</f>
        <v/>
      </c>
      <c r="E164" s="110" t="n"/>
      <c r="F164" s="75" t="n"/>
      <c r="G164" s="75" t="n"/>
    </row>
    <row r="165" ht="15.75" customHeight="1" s="52">
      <c r="A165" s="114" t="n"/>
      <c r="B165" s="76" t="n"/>
      <c r="C165" s="76" t="n"/>
      <c r="D165" s="109">
        <f t="array" ref="D165:D165">IFERROR(INDEX(GroupLookup,MATCH(C165,CategoryList,0)),"")</f>
        <v/>
      </c>
      <c r="E165" s="112" t="n"/>
      <c r="F165" s="76" t="n"/>
      <c r="G165" s="76" t="n"/>
    </row>
    <row r="166" ht="15.75" customHeight="1" s="52">
      <c r="A166" s="108" t="n"/>
      <c r="B166" s="75" t="n"/>
      <c r="C166" s="75" t="n"/>
      <c r="D166" s="109">
        <f t="array" ref="D166:D166">IFERROR(INDEX(GroupLookup,MATCH(C166,CategoryList,0)),"")</f>
        <v/>
      </c>
      <c r="E166" s="110" t="n"/>
      <c r="F166" s="75" t="n"/>
      <c r="G166" s="75" t="n"/>
    </row>
    <row r="167" ht="15.75" customHeight="1" s="52">
      <c r="A167" s="114" t="n"/>
      <c r="B167" s="76" t="n"/>
      <c r="C167" s="76" t="n"/>
      <c r="D167" s="109">
        <f t="array" ref="D167:D167">IFERROR(INDEX(GroupLookup,MATCH(C167,CategoryList,0)),"")</f>
        <v/>
      </c>
      <c r="E167" s="112" t="n"/>
      <c r="F167" s="76" t="n"/>
      <c r="G167" s="76" t="n"/>
    </row>
    <row r="168" ht="15.75" customHeight="1" s="52">
      <c r="A168" s="108" t="n"/>
      <c r="B168" s="75" t="n"/>
      <c r="C168" s="75" t="n"/>
      <c r="D168" s="109">
        <f t="array" ref="D168:D168">IFERROR(INDEX(GroupLookup,MATCH(C168,CategoryList,0)),"")</f>
        <v/>
      </c>
      <c r="E168" s="110" t="n"/>
      <c r="F168" s="75" t="n"/>
      <c r="G168" s="75" t="n"/>
    </row>
    <row r="169" ht="15.75" customHeight="1" s="52">
      <c r="A169" s="114" t="n"/>
      <c r="B169" s="76" t="n"/>
      <c r="C169" s="76" t="n"/>
      <c r="D169" s="109">
        <f t="array" ref="D169:D169">IFERROR(INDEX(GroupLookup,MATCH(C169,CategoryList,0)),"")</f>
        <v/>
      </c>
      <c r="E169" s="112" t="n"/>
      <c r="F169" s="76" t="n"/>
      <c r="G169" s="76" t="n"/>
    </row>
    <row r="170" ht="15.75" customHeight="1" s="52">
      <c r="A170" s="108" t="n"/>
      <c r="B170" s="75" t="n"/>
      <c r="C170" s="75" t="n"/>
      <c r="D170" s="109">
        <f t="array" ref="D170:D170">IFERROR(INDEX(GroupLookup,MATCH(C170,CategoryList,0)),"")</f>
        <v/>
      </c>
      <c r="E170" s="110" t="n"/>
      <c r="F170" s="75" t="n"/>
      <c r="G170" s="75" t="n"/>
    </row>
    <row r="171" ht="15.75" customHeight="1" s="52">
      <c r="A171" s="114" t="n"/>
      <c r="B171" s="76" t="n"/>
      <c r="C171" s="76" t="n"/>
      <c r="D171" s="109">
        <f t="array" ref="D171:D171">IFERROR(INDEX(GroupLookup,MATCH(C171,CategoryList,0)),"")</f>
        <v/>
      </c>
      <c r="E171" s="112" t="n"/>
      <c r="F171" s="76" t="n"/>
      <c r="G171" s="76" t="n"/>
    </row>
    <row r="172" ht="15.75" customHeight="1" s="52">
      <c r="A172" s="108" t="n"/>
      <c r="B172" s="75" t="n"/>
      <c r="C172" s="75" t="n"/>
      <c r="D172" s="109">
        <f t="array" ref="D172:D172">IFERROR(INDEX(GroupLookup,MATCH(C172,CategoryList,0)),"")</f>
        <v/>
      </c>
      <c r="E172" s="110" t="n"/>
      <c r="F172" s="75" t="n"/>
      <c r="G172" s="75" t="n"/>
    </row>
    <row r="173" ht="15.75" customHeight="1" s="52">
      <c r="A173" s="114" t="n"/>
      <c r="B173" s="76" t="n"/>
      <c r="C173" s="76" t="n"/>
      <c r="D173" s="109">
        <f t="array" ref="D173:D173">IFERROR(INDEX(GroupLookup,MATCH(C173,CategoryList,0)),"")</f>
        <v/>
      </c>
      <c r="E173" s="112" t="n"/>
      <c r="F173" s="76" t="n"/>
      <c r="G173" s="76" t="n"/>
    </row>
    <row r="174" ht="15.75" customHeight="1" s="52">
      <c r="A174" s="108" t="n"/>
      <c r="B174" s="75" t="n"/>
      <c r="C174" s="75" t="n"/>
      <c r="D174" s="109">
        <f t="array" ref="D174:D174">IFERROR(INDEX(GroupLookup,MATCH(C174,CategoryList,0)),"")</f>
        <v/>
      </c>
      <c r="E174" s="110" t="n"/>
      <c r="F174" s="75" t="n"/>
      <c r="G174" s="75" t="n"/>
    </row>
    <row r="175" ht="15.75" customHeight="1" s="52">
      <c r="A175" s="114" t="n"/>
      <c r="B175" s="76" t="n"/>
      <c r="C175" s="76" t="n"/>
      <c r="D175" s="109">
        <f t="array" ref="D175:D175">IFERROR(INDEX(GroupLookup,MATCH(C175,CategoryList,0)),"")</f>
        <v/>
      </c>
      <c r="E175" s="112" t="n"/>
      <c r="F175" s="76" t="n"/>
      <c r="G175" s="76" t="n"/>
    </row>
    <row r="176" ht="15.75" customHeight="1" s="52">
      <c r="A176" s="108" t="n"/>
      <c r="B176" s="75" t="n"/>
      <c r="C176" s="75" t="n"/>
      <c r="D176" s="109">
        <f t="array" ref="D176:D176">IFERROR(INDEX(GroupLookup,MATCH(C176,CategoryList,0)),"")</f>
        <v/>
      </c>
      <c r="E176" s="110" t="n"/>
      <c r="F176" s="75" t="n"/>
      <c r="G176" s="75" t="n"/>
    </row>
    <row r="177" ht="15.75" customHeight="1" s="52">
      <c r="A177" s="114" t="n"/>
      <c r="B177" s="76" t="n"/>
      <c r="C177" s="76" t="n"/>
      <c r="D177" s="109">
        <f t="array" ref="D177:D177">IFERROR(INDEX(GroupLookup,MATCH(C177,CategoryList,0)),"")</f>
        <v/>
      </c>
      <c r="E177" s="112" t="n"/>
      <c r="F177" s="76" t="n"/>
      <c r="G177" s="76" t="n"/>
    </row>
    <row r="178" ht="15.75" customHeight="1" s="52">
      <c r="A178" s="108" t="n"/>
      <c r="B178" s="75" t="n"/>
      <c r="C178" s="75" t="n"/>
      <c r="D178" s="109">
        <f t="array" ref="D178:D178">IFERROR(INDEX(GroupLookup,MATCH(C178,CategoryList,0)),"")</f>
        <v/>
      </c>
      <c r="E178" s="110" t="n"/>
      <c r="F178" s="75" t="n"/>
      <c r="G178" s="75" t="n"/>
    </row>
    <row r="179" ht="15.75" customHeight="1" s="52">
      <c r="A179" s="114" t="n"/>
      <c r="B179" s="76" t="n"/>
      <c r="C179" s="76" t="n"/>
      <c r="D179" s="109">
        <f t="array" ref="D179:D179">IFERROR(INDEX(GroupLookup,MATCH(C179,CategoryList,0)),"")</f>
        <v/>
      </c>
      <c r="E179" s="112" t="n"/>
      <c r="F179" s="76" t="n"/>
      <c r="G179" s="76" t="n"/>
    </row>
    <row r="180" ht="15.75" customHeight="1" s="52">
      <c r="A180" s="108" t="n"/>
      <c r="B180" s="75" t="n"/>
      <c r="C180" s="75" t="n"/>
      <c r="D180" s="109">
        <f t="array" ref="D180:D180">IFERROR(INDEX(GroupLookup,MATCH(C180,CategoryList,0)),"")</f>
        <v/>
      </c>
      <c r="E180" s="110" t="n"/>
      <c r="F180" s="75" t="n"/>
      <c r="G180" s="75" t="n"/>
    </row>
    <row r="181" ht="15.75" customHeight="1" s="52">
      <c r="A181" s="114" t="n"/>
      <c r="B181" s="76" t="n"/>
      <c r="C181" s="76" t="n"/>
      <c r="D181" s="109">
        <f t="array" ref="D181:D181">IFERROR(INDEX(GroupLookup,MATCH(C181,CategoryList,0)),"")</f>
        <v/>
      </c>
      <c r="E181" s="112" t="n"/>
      <c r="F181" s="76" t="n"/>
      <c r="G181" s="76" t="n"/>
    </row>
    <row r="182" ht="15.75" customHeight="1" s="52">
      <c r="A182" s="108" t="n"/>
      <c r="B182" s="75" t="n"/>
      <c r="C182" s="75" t="n"/>
      <c r="D182" s="109">
        <f t="array" ref="D182:D182">IFERROR(INDEX(GroupLookup,MATCH(C182,CategoryList,0)),"")</f>
        <v/>
      </c>
      <c r="E182" s="110" t="n"/>
      <c r="F182" s="75" t="n"/>
      <c r="G182" s="75" t="n"/>
    </row>
    <row r="183" ht="15.75" customHeight="1" s="52">
      <c r="A183" s="114" t="n"/>
      <c r="B183" s="76" t="n"/>
      <c r="C183" s="76" t="n"/>
      <c r="D183" s="109">
        <f t="array" ref="D183:D183">IFERROR(INDEX(GroupLookup,MATCH(C183,CategoryList,0)),"")</f>
        <v/>
      </c>
      <c r="E183" s="112" t="n"/>
      <c r="F183" s="76" t="n"/>
      <c r="G183" s="76" t="n"/>
    </row>
    <row r="184" ht="15.75" customHeight="1" s="52">
      <c r="A184" s="108" t="n"/>
      <c r="B184" s="75" t="n"/>
      <c r="C184" s="75" t="n"/>
      <c r="D184" s="109">
        <f t="array" ref="D184:D184">IFERROR(INDEX(GroupLookup,MATCH(C184,CategoryList,0)),"")</f>
        <v/>
      </c>
      <c r="E184" s="110" t="n"/>
      <c r="F184" s="75" t="n"/>
      <c r="G184" s="75" t="n"/>
    </row>
    <row r="185" ht="15.75" customHeight="1" s="52">
      <c r="A185" s="114" t="n"/>
      <c r="B185" s="76" t="n"/>
      <c r="C185" s="76" t="n"/>
      <c r="D185" s="109">
        <f t="array" ref="D185:D185">IFERROR(INDEX(GroupLookup,MATCH(C185,CategoryList,0)),"")</f>
        <v/>
      </c>
      <c r="E185" s="112" t="n"/>
      <c r="F185" s="76" t="n"/>
      <c r="G185" s="76" t="n"/>
    </row>
    <row r="186" ht="15.75" customHeight="1" s="52">
      <c r="A186" s="108" t="n"/>
      <c r="B186" s="75" t="n"/>
      <c r="C186" s="75" t="n"/>
      <c r="D186" s="109">
        <f t="array" ref="D186:D186">IFERROR(INDEX(GroupLookup,MATCH(C186,CategoryList,0)),"")</f>
        <v/>
      </c>
      <c r="E186" s="110" t="n"/>
      <c r="F186" s="75" t="n"/>
      <c r="G186" s="75" t="n"/>
    </row>
    <row r="187" ht="15.75" customHeight="1" s="52">
      <c r="A187" s="114" t="n"/>
      <c r="B187" s="76" t="n"/>
      <c r="C187" s="76" t="n"/>
      <c r="D187" s="109">
        <f t="array" ref="D187:D187">IFERROR(INDEX(GroupLookup,MATCH(C187,CategoryList,0)),"")</f>
        <v/>
      </c>
      <c r="E187" s="112" t="n"/>
      <c r="F187" s="76" t="n"/>
      <c r="G187" s="76" t="n"/>
    </row>
    <row r="188" ht="15.75" customHeight="1" s="52">
      <c r="A188" s="108" t="n"/>
      <c r="B188" s="75" t="n"/>
      <c r="C188" s="75" t="n"/>
      <c r="D188" s="109">
        <f t="array" ref="D188:D188">IFERROR(INDEX(GroupLookup,MATCH(C188,CategoryList,0)),"")</f>
        <v/>
      </c>
      <c r="E188" s="110" t="n"/>
      <c r="F188" s="75" t="n"/>
      <c r="G188" s="75" t="n"/>
    </row>
    <row r="189" ht="15.75" customHeight="1" s="52">
      <c r="A189" s="114" t="n"/>
      <c r="B189" s="76" t="n"/>
      <c r="C189" s="76" t="n"/>
      <c r="D189" s="109">
        <f t="array" ref="D189:D189">IFERROR(INDEX(GroupLookup,MATCH(C189,CategoryList,0)),"")</f>
        <v/>
      </c>
      <c r="E189" s="112" t="n"/>
      <c r="F189" s="76" t="n"/>
      <c r="G189" s="76" t="n"/>
    </row>
    <row r="190" ht="15.75" customHeight="1" s="52">
      <c r="A190" s="108" t="n"/>
      <c r="B190" s="75" t="n"/>
      <c r="C190" s="75" t="n"/>
      <c r="D190" s="109">
        <f t="array" ref="D190:D190">IFERROR(INDEX(GroupLookup,MATCH(C190,CategoryList,0)),"")</f>
        <v/>
      </c>
      <c r="E190" s="110" t="n"/>
      <c r="F190" s="75" t="n"/>
      <c r="G190" s="75" t="n"/>
    </row>
    <row r="191" ht="15.75" customHeight="1" s="52">
      <c r="A191" s="114" t="n"/>
      <c r="B191" s="76" t="n"/>
      <c r="C191" s="76" t="n"/>
      <c r="D191" s="109">
        <f t="array" ref="D191:D191">IFERROR(INDEX(GroupLookup,MATCH(C191,CategoryList,0)),"")</f>
        <v/>
      </c>
      <c r="E191" s="112" t="n"/>
      <c r="F191" s="76" t="n"/>
      <c r="G191" s="76" t="n"/>
    </row>
    <row r="192" ht="15.75" customHeight="1" s="52">
      <c r="A192" s="108" t="n"/>
      <c r="B192" s="75" t="n"/>
      <c r="C192" s="75" t="n"/>
      <c r="D192" s="109">
        <f t="array" ref="D192:D192">IFERROR(INDEX(GroupLookup,MATCH(C192,CategoryList,0)),"")</f>
        <v/>
      </c>
      <c r="E192" s="110" t="n"/>
      <c r="F192" s="75" t="n"/>
      <c r="G192" s="75" t="n"/>
    </row>
    <row r="193" ht="15.75" customHeight="1" s="52">
      <c r="A193" s="114" t="n"/>
      <c r="B193" s="76" t="n"/>
      <c r="C193" s="76" t="n"/>
      <c r="D193" s="109">
        <f t="array" ref="D193:D193">IFERROR(INDEX(GroupLookup,MATCH(C193,CategoryList,0)),"")</f>
        <v/>
      </c>
      <c r="E193" s="112" t="n"/>
      <c r="F193" s="76" t="n"/>
      <c r="G193" s="76" t="n"/>
    </row>
    <row r="194" ht="15.75" customHeight="1" s="52">
      <c r="A194" s="108" t="n"/>
      <c r="B194" s="75" t="n"/>
      <c r="C194" s="75" t="n"/>
      <c r="D194" s="109">
        <f t="array" ref="D194:D194">IFERROR(INDEX(GroupLookup,MATCH(C194,CategoryList,0)),"")</f>
        <v/>
      </c>
      <c r="E194" s="110" t="n"/>
      <c r="F194" s="75" t="n"/>
      <c r="G194" s="75" t="n"/>
    </row>
    <row r="195" ht="15.75" customHeight="1" s="52">
      <c r="A195" s="114" t="n"/>
      <c r="B195" s="76" t="n"/>
      <c r="C195" s="76" t="n"/>
      <c r="D195" s="109">
        <f t="array" ref="D195:D195">IFERROR(INDEX(GroupLookup,MATCH(C195,CategoryList,0)),"")</f>
        <v/>
      </c>
      <c r="E195" s="112" t="n"/>
      <c r="F195" s="76" t="n"/>
      <c r="G195" s="76" t="n"/>
    </row>
    <row r="196" ht="15.75" customHeight="1" s="52">
      <c r="A196" s="108" t="n"/>
      <c r="B196" s="75" t="n"/>
      <c r="C196" s="75" t="n"/>
      <c r="D196" s="109">
        <f t="array" ref="D196:D196">IFERROR(INDEX(GroupLookup,MATCH(C196,CategoryList,0)),"")</f>
        <v/>
      </c>
      <c r="E196" s="110" t="n"/>
      <c r="F196" s="75" t="n"/>
      <c r="G196" s="75" t="n"/>
    </row>
    <row r="197" ht="15.75" customHeight="1" s="52">
      <c r="A197" s="114" t="n"/>
      <c r="B197" s="76" t="n"/>
      <c r="C197" s="76" t="n"/>
      <c r="D197" s="109">
        <f t="array" ref="D197:D197">IFERROR(INDEX(GroupLookup,MATCH(C197,CategoryList,0)),"")</f>
        <v/>
      </c>
      <c r="E197" s="112" t="n"/>
      <c r="F197" s="76" t="n"/>
      <c r="G197" s="76" t="n"/>
    </row>
    <row r="198" ht="15.75" customHeight="1" s="52">
      <c r="A198" s="108" t="n"/>
      <c r="B198" s="75" t="n"/>
      <c r="C198" s="75" t="n"/>
      <c r="D198" s="109">
        <f t="array" ref="D198:D198">IFERROR(INDEX(GroupLookup,MATCH(C198,CategoryList,0)),"")</f>
        <v/>
      </c>
      <c r="E198" s="110" t="n"/>
      <c r="F198" s="75" t="n"/>
      <c r="G198" s="75" t="n"/>
    </row>
    <row r="199" ht="15.75" customHeight="1" s="52">
      <c r="A199" s="114" t="n"/>
      <c r="B199" s="76" t="n"/>
      <c r="C199" s="76" t="n"/>
      <c r="D199" s="109">
        <f t="array" ref="D199:D199">IFERROR(INDEX(GroupLookup,MATCH(C199,CategoryList,0)),"")</f>
        <v/>
      </c>
      <c r="E199" s="112" t="n"/>
      <c r="F199" s="76" t="n"/>
      <c r="G199" s="76" t="n"/>
    </row>
    <row r="200" ht="15.75" customHeight="1" s="52">
      <c r="A200" s="108" t="n"/>
      <c r="B200" s="75" t="n"/>
      <c r="C200" s="75" t="n"/>
      <c r="D200" s="109">
        <f t="array" ref="D200:D200">IFERROR(INDEX(GroupLookup,MATCH(C200,CategoryList,0)),"")</f>
        <v/>
      </c>
      <c r="E200" s="110" t="n"/>
      <c r="F200" s="75" t="n"/>
      <c r="G200" s="75" t="n"/>
    </row>
    <row r="201" ht="15.75" customHeight="1" s="52">
      <c r="A201" s="114" t="n"/>
      <c r="B201" s="76" t="n"/>
      <c r="C201" s="76" t="n"/>
      <c r="D201" s="109">
        <f t="array" ref="D201:D201">IFERROR(INDEX(GroupLookup,MATCH(C201,CategoryList,0)),"")</f>
        <v/>
      </c>
      <c r="E201" s="112" t="n"/>
      <c r="F201" s="76" t="n"/>
      <c r="G201" s="76" t="n"/>
    </row>
    <row r="202" ht="15.75" customHeight="1" s="52">
      <c r="A202" s="108" t="n"/>
      <c r="B202" s="75" t="n"/>
      <c r="C202" s="75" t="n"/>
      <c r="D202" s="109">
        <f t="array" ref="D202:D202">IFERROR(INDEX(GroupLookup,MATCH(C202,CategoryList,0)),"")</f>
        <v/>
      </c>
      <c r="E202" s="110" t="n"/>
      <c r="F202" s="75" t="n"/>
      <c r="G202" s="75" t="n"/>
    </row>
    <row r="203" ht="15.75" customHeight="1" s="52">
      <c r="A203" s="114" t="n"/>
      <c r="B203" s="76" t="n"/>
      <c r="C203" s="76" t="n"/>
      <c r="D203" s="109">
        <f t="array" ref="D203:D203">IFERROR(INDEX(GroupLookup,MATCH(C203,CategoryList,0)),"")</f>
        <v/>
      </c>
      <c r="E203" s="112" t="n"/>
      <c r="F203" s="76" t="n"/>
      <c r="G203" s="76" t="n"/>
    </row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autoFilter ref="A3:G203"/>
  <mergeCells count="12">
    <mergeCell ref="A1:G1"/>
    <mergeCell ref="J20:K20"/>
    <mergeCell ref="I2:K2"/>
    <mergeCell ref="I14:K14"/>
    <mergeCell ref="J16:K16"/>
    <mergeCell ref="J15:K15"/>
    <mergeCell ref="I1:K1"/>
    <mergeCell ref="J18:K18"/>
    <mergeCell ref="J19:K19"/>
    <mergeCell ref="A2:G2"/>
    <mergeCell ref="I21:K21"/>
    <mergeCell ref="J17:K17"/>
  </mergeCells>
  <conditionalFormatting sqref="J13">
    <cfRule type="expression" rank="0" priority="2" equalAverage="0" aboveAverage="0" dxfId="0" text="" percent="0" bottom="0">
      <formula>$J$13&lt;&gt;0</formula>
    </cfRule>
  </conditionalFormatting>
  <conditionalFormatting sqref="A4:G203">
    <cfRule type="expression" rank="0" priority="3" equalAverage="0" aboveAverage="0" dxfId="7" text="" percent="0" bottom="0">
      <formula>AND($E4&gt;0,$D4="")</formula>
    </cfRule>
  </conditionalFormatting>
  <dataValidations count="4">
    <dataValidation sqref="E4:E203" showDropDown="0" showInputMessage="0" showErrorMessage="1" allowBlank="1" errorTitle="পরিমাণ ঋণাত্মক হতে পারে না" error="শুধু শূন্য বা তার বেশি সংখ্যা লিখুন। টাকার চিহ্ন নিজে থেকে বসবে।" type="decimal" errorStyle="stop" operator="greaterThanOrEqual">
      <formula1>0</formula1>
      <formula2>0</formula2>
    </dataValidation>
    <dataValidation sqref="C4:C203" showDropDown="0" showInputMessage="0" showErrorMessage="1" allowBlank="1" errorTitle="খাত তালিকায় নেই" error="ড্রপ-ডাউন থেকে একটি খাত বেছে নিন। তালিকার বাইরের খাত লিখলে ‘গ্রুপ’ কলাম খালি থাকবে এবং খরচটি গ্রুপভিত্তিক হিসাবে ধরা পড়বে না। নতুন খাত দরকার হলে ‘সেটিংস’ শিটে যোগ করুন।" type="list" errorStyle="stop" operator="between">
      <formula1>CategoryList</formula1>
      <formula2>0</formula2>
    </dataValidation>
    <dataValidation sqref="A4:A203" showDropDown="0" showInputMessage="0" showErrorMessage="1" allowBlank="1" errorTitle="তারিখ এই মাসের বাইরে" error="তারিখটি এই শিটের মাসের মধ্যে পড়ছে না। ভুল হলে ঠিক করুন, নয়তো ‘হ্যাঁ’ চেপে রেখে দিন।" type="date" errorStyle="warning" operator="between">
      <formula1>DATE(2026,7,1)</formula1>
      <formula2>DATE(2026,7,31)</formula2>
    </dataValidation>
    <dataValidation sqref="F4:F203" showDropDown="0" showInputMessage="0" showErrorMessage="1" allowBlank="1" errorTitle="পেমেন্ট মাধ্যম তালিকায় নেই" error="ড্রপ-ডাউন থেকে একটি পেমেন্ট মাধ্যম বেছে নিন।" type="list" errorStyle="stop" operator="between">
      <formula1>PaymentList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2E5C99"/>
    <outlinePr summaryBelow="1" summaryRight="1"/>
    <pageSetUpPr fitToPage="0"/>
  </sheetPr>
  <dimension ref="A1:K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3359375" defaultRowHeight="15" zeroHeight="0" outlineLevelRow="0"/>
  <cols>
    <col width="13" customWidth="1" style="51" min="1" max="1"/>
    <col width="34" customWidth="1" style="51" min="2" max="2"/>
    <col width="26" customWidth="1" style="51" min="3" max="3"/>
    <col width="24" customWidth="1" style="51" min="4" max="4"/>
    <col width="15" customWidth="1" style="51" min="5" max="5"/>
    <col width="20" customWidth="1" style="51" min="6" max="6"/>
    <col width="26" customWidth="1" style="51" min="7" max="7"/>
    <col width="3" customWidth="1" style="51" min="8" max="8"/>
    <col width="30" customWidth="1" style="51" min="9" max="9"/>
    <col width="17" customWidth="1" style="51" min="10" max="10"/>
    <col width="12" customWidth="1" style="51" min="11" max="11"/>
    <col width="8.710000000000001" customWidth="1" style="51" min="12" max="26"/>
  </cols>
  <sheetData>
    <row r="1" ht="25.5" customHeight="1" s="52">
      <c r="A1" s="104" t="inlineStr">
        <is>
          <t>দৈনিক খরচের হিসাব  —  আগস্ট ২০২৬</t>
        </is>
      </c>
      <c r="I1" s="105" t="inlineStr">
        <is>
          <t>মাসিক সারসংক্ষেপ</t>
        </is>
      </c>
    </row>
    <row r="2" ht="15.75" customHeight="1" s="52">
      <c r="A2" s="59" t="inlineStr">
        <is>
          <t>শুধু  তারিখ · বিবরণ · খাত · পরিমাণ · পেমেন্ট মাধ্যম · মন্তব্য  ঘরগুলো পূরণ করুন। ‘গ্রুপ’ কলাম স্বয়ংক্রিয়ভাবে পূরণ হবে।</t>
        </is>
      </c>
      <c r="I2" s="106" t="n"/>
    </row>
    <row r="3" ht="21.75" customHeight="1" s="52">
      <c r="A3" s="107" t="inlineStr">
        <is>
          <t>তারিখ</t>
        </is>
      </c>
      <c r="B3" s="107" t="inlineStr">
        <is>
          <t>বিবরণ</t>
        </is>
      </c>
      <c r="C3" s="107" t="inlineStr">
        <is>
          <t>খাত</t>
        </is>
      </c>
      <c r="D3" s="107" t="inlineStr">
        <is>
          <t>গ্রুপ</t>
        </is>
      </c>
      <c r="E3" s="107" t="inlineStr">
        <is>
          <t>পরিমাণ (৳)</t>
        </is>
      </c>
      <c r="F3" s="107" t="inlineStr">
        <is>
          <t>পেমেন্ট মাধ্যম</t>
        </is>
      </c>
      <c r="G3" s="107" t="inlineStr">
        <is>
          <t>মন্তব্য</t>
        </is>
      </c>
      <c r="I3" s="100" t="inlineStr">
        <is>
          <t>গ্রুপ (প্রধান খাত)</t>
        </is>
      </c>
      <c r="J3" s="100" t="inlineStr">
        <is>
          <t>মোট (৳)</t>
        </is>
      </c>
      <c r="K3" s="100" t="inlineStr">
        <is>
          <t>শতাংশ</t>
        </is>
      </c>
    </row>
    <row r="4" ht="15" customHeight="1" s="52">
      <c r="A4" s="125" t="n">
        <v>46235</v>
      </c>
      <c r="B4" s="75" t="n"/>
      <c r="C4" s="126" t="inlineStr">
        <is>
          <t>চাল</t>
        </is>
      </c>
      <c r="D4" s="109">
        <f t="array" ref="D4:D4">IFERROR(INDEX(GroupLookup,MATCH(C4,CategoryList,0)),"")</f>
        <v/>
      </c>
      <c r="E4" s="127" t="n">
        <v>480</v>
      </c>
      <c r="F4" s="126" t="inlineStr">
        <is>
          <t>নগদ টাকা</t>
        </is>
      </c>
      <c r="G4" s="75" t="n"/>
      <c r="I4" s="75" t="inlineStr">
        <is>
          <t>খাদ্য ও মুদি</t>
        </is>
      </c>
      <c r="J4" s="110">
        <f>SUMIF($D$4:$D$203,$I4,$E$4:$E$203)</f>
        <v/>
      </c>
      <c r="K4" s="111">
        <f>IFERROR($J4/$J$12,0)</f>
        <v/>
      </c>
    </row>
    <row r="5" ht="15" customHeight="1" s="52">
      <c r="A5" s="125" t="n">
        <v>46235</v>
      </c>
      <c r="B5" s="76" t="n"/>
      <c r="C5" s="115" t="inlineStr">
        <is>
          <t>রিকশা / সিএনজি</t>
        </is>
      </c>
      <c r="D5" s="109">
        <f t="array" ref="D5:D5">IFERROR(INDEX(GroupLookup,MATCH(C5,CategoryList,0)),"")</f>
        <v/>
      </c>
      <c r="E5" s="116" t="n">
        <v>10</v>
      </c>
      <c r="F5" s="115" t="inlineStr">
        <is>
          <t>নগদ টাকা</t>
        </is>
      </c>
      <c r="G5" s="76" t="n"/>
      <c r="I5" s="76" t="inlineStr">
        <is>
          <t>বাসস্থান</t>
        </is>
      </c>
      <c r="J5" s="112">
        <f>SUMIF($D$4:$D$203,$I5,$E$4:$E$203)</f>
        <v/>
      </c>
      <c r="K5" s="113">
        <f>IFERROR($J5/$J$12,0)</f>
        <v/>
      </c>
    </row>
    <row r="6" ht="15" customHeight="1" s="52">
      <c r="A6" s="125" t="n">
        <v>46235</v>
      </c>
      <c r="B6" s="75" t="n"/>
      <c r="C6" s="126" t="inlineStr">
        <is>
          <t>ফলমূল</t>
        </is>
      </c>
      <c r="D6" s="109">
        <f t="array" ref="D6:D6">IFERROR(INDEX(GroupLookup,MATCH(C6,CategoryList,0)),"")</f>
        <v/>
      </c>
      <c r="E6" s="127" t="n">
        <v>170</v>
      </c>
      <c r="F6" s="126" t="inlineStr">
        <is>
          <t>নগদ টাকা</t>
        </is>
      </c>
      <c r="G6" s="75" t="n"/>
      <c r="I6" s="75" t="inlineStr">
        <is>
          <t>ইউটিলিটি বিল</t>
        </is>
      </c>
      <c r="J6" s="110">
        <f>SUMIF($D$4:$D$203,$I6,$E$4:$E$203)</f>
        <v/>
      </c>
      <c r="K6" s="111">
        <f>IFERROR($J6/$J$12,0)</f>
        <v/>
      </c>
    </row>
    <row r="7" ht="15" customHeight="1" s="52">
      <c r="A7" s="125" t="n">
        <v>46235</v>
      </c>
      <c r="B7" s="76" t="n"/>
      <c r="C7" s="115" t="inlineStr">
        <is>
          <t>শাক-সবজি</t>
        </is>
      </c>
      <c r="D7" s="109">
        <f t="array" ref="D7:D7">IFERROR(INDEX(GroupLookup,MATCH(C7,CategoryList,0)),"")</f>
        <v/>
      </c>
      <c r="E7" s="116" t="n">
        <v>100</v>
      </c>
      <c r="F7" s="115" t="inlineStr">
        <is>
          <t>নগদ টাকা</t>
        </is>
      </c>
      <c r="G7" s="76" t="n"/>
      <c r="I7" s="76" t="inlineStr">
        <is>
          <t>যাতায়াত</t>
        </is>
      </c>
      <c r="J7" s="112">
        <f>SUMIF($D$4:$D$203,$I7,$E$4:$E$203)</f>
        <v/>
      </c>
      <c r="K7" s="113">
        <f>IFERROR($J7/$J$12,0)</f>
        <v/>
      </c>
    </row>
    <row r="8" ht="15" customHeight="1" s="52">
      <c r="A8" s="125" t="n">
        <v>46235</v>
      </c>
      <c r="B8" s="75" t="n"/>
      <c r="C8" s="126" t="inlineStr">
        <is>
          <t>দান ও যাকাত</t>
        </is>
      </c>
      <c r="D8" s="109">
        <f t="array" ref="D8:D8">IFERROR(INDEX(GroupLookup,MATCH(C8,CategoryList,0)),"")</f>
        <v/>
      </c>
      <c r="E8" s="127" t="n">
        <v>10</v>
      </c>
      <c r="F8" s="126" t="inlineStr">
        <is>
          <t>নগদ টাকা</t>
        </is>
      </c>
      <c r="G8" s="75" t="n"/>
      <c r="I8" s="75" t="inlineStr">
        <is>
          <t>স্বাস্থ্য</t>
        </is>
      </c>
      <c r="J8" s="110">
        <f>SUMIF($D$4:$D$203,$I8,$E$4:$E$203)</f>
        <v/>
      </c>
      <c r="K8" s="111">
        <f>IFERROR($J8/$J$12,0)</f>
        <v/>
      </c>
    </row>
    <row r="9" ht="15" customHeight="1" s="52">
      <c r="A9" s="125" t="n">
        <v>46236</v>
      </c>
      <c r="B9" s="76" t="n"/>
      <c r="C9" s="115" t="inlineStr">
        <is>
          <t>ডিম</t>
        </is>
      </c>
      <c r="D9" s="109">
        <f t="array" ref="D9:D9">IFERROR(INDEX(GroupLookup,MATCH(C9,CategoryList,0)),"")</f>
        <v/>
      </c>
      <c r="E9" s="116" t="n">
        <v>140</v>
      </c>
      <c r="F9" s="115" t="inlineStr">
        <is>
          <t>নগদ টাকা</t>
        </is>
      </c>
      <c r="G9" s="76" t="n"/>
      <c r="I9" s="76" t="inlineStr">
        <is>
          <t>শিক্ষা</t>
        </is>
      </c>
      <c r="J9" s="112">
        <f>SUMIF($D$4:$D$203,$I9,$E$4:$E$203)</f>
        <v/>
      </c>
      <c r="K9" s="113">
        <f>IFERROR($J9/$J$12,0)</f>
        <v/>
      </c>
    </row>
    <row r="10" ht="15" customHeight="1" s="52">
      <c r="A10" s="125" t="n">
        <v>46236</v>
      </c>
      <c r="B10" s="75" t="n"/>
      <c r="C10" s="126" t="inlineStr">
        <is>
          <t>মোবাইল রিচার্জ</t>
        </is>
      </c>
      <c r="D10" s="109">
        <f t="array" ref="D10:D10">IFERROR(INDEX(GroupLookup,MATCH(C10,CategoryList,0)),"")</f>
        <v/>
      </c>
      <c r="E10" s="127" t="n">
        <v>100</v>
      </c>
      <c r="F10" s="126" t="inlineStr">
        <is>
          <t>বিকাশ</t>
        </is>
      </c>
      <c r="G10" s="75" t="n"/>
      <c r="I10" s="75" t="inlineStr">
        <is>
          <t>ব্যক্তিগত ও গৃহস্থালি</t>
        </is>
      </c>
      <c r="J10" s="110">
        <f>SUMIF($D$4:$D$203,$I10,$E$4:$E$203)</f>
        <v/>
      </c>
      <c r="K10" s="111">
        <f>IFERROR($J10/$J$12,0)</f>
        <v/>
      </c>
    </row>
    <row r="11" ht="15" customHeight="1" s="52">
      <c r="A11" s="128" t="n">
        <v>46238</v>
      </c>
      <c r="B11" s="76" t="n"/>
      <c r="C11" s="115" t="inlineStr">
        <is>
          <t>শাক-সবজি</t>
        </is>
      </c>
      <c r="D11" s="109">
        <f t="array" ref="D11:D11">IFERROR(INDEX(GroupLookup,MATCH(C11,CategoryList,0)),"")</f>
        <v/>
      </c>
      <c r="E11" s="116" t="n">
        <v>20</v>
      </c>
      <c r="F11" s="76" t="n"/>
      <c r="G11" s="76" t="n"/>
      <c r="I11" s="76" t="inlineStr">
        <is>
          <t>অন্যান্য</t>
        </is>
      </c>
      <c r="J11" s="112">
        <f>SUMIF($D$4:$D$203,$I11,$E$4:$E$203)</f>
        <v/>
      </c>
      <c r="K11" s="113">
        <f>IFERROR($J11/$J$12,0)</f>
        <v/>
      </c>
    </row>
    <row r="12" ht="15" customHeight="1" s="52">
      <c r="A12" s="128" t="n">
        <v>46238</v>
      </c>
      <c r="B12" s="75" t="n"/>
      <c r="C12" s="126" t="inlineStr">
        <is>
          <t>মাছ</t>
        </is>
      </c>
      <c r="D12" s="109">
        <f t="array" ref="D12:D12">IFERROR(INDEX(GroupLookup,MATCH(C12,CategoryList,0)),"")</f>
        <v/>
      </c>
      <c r="E12" s="127" t="n">
        <v>890</v>
      </c>
      <c r="F12" s="75" t="n"/>
      <c r="G12" s="75" t="n"/>
      <c r="I12" s="72" t="inlineStr">
        <is>
          <t>মোট মাসিক ব্যয়</t>
        </is>
      </c>
      <c r="J12" s="117">
        <f>SUM($E$4:$E$203)</f>
        <v/>
      </c>
      <c r="K12" s="118">
        <f>IFERROR($J$12/$J$12,0)</f>
        <v/>
      </c>
    </row>
    <row r="13" ht="15" customHeight="1" s="52">
      <c r="A13" s="128" t="n">
        <v>46238</v>
      </c>
      <c r="B13" s="76" t="n"/>
      <c r="C13" s="115" t="inlineStr">
        <is>
          <t>মাছ</t>
        </is>
      </c>
      <c r="D13" s="109">
        <f t="array" ref="D13:D13">IFERROR(INDEX(GroupLookup,MATCH(C13,CategoryList,0)),"")</f>
        <v/>
      </c>
      <c r="E13" s="116" t="n">
        <v>220</v>
      </c>
      <c r="F13" s="76" t="n"/>
      <c r="G13" s="76" t="n"/>
      <c r="I13" s="74" t="inlineStr">
        <is>
          <t>শ্রেণিবিন্যাসহীন (খাত তালিকায় নেই)</t>
        </is>
      </c>
      <c r="J13" s="117">
        <f>$J$12-SUM($J$4:$J$11)</f>
        <v/>
      </c>
      <c r="K13" s="118">
        <f>IFERROR($J13/$J$12,0)</f>
        <v/>
      </c>
    </row>
    <row r="14" ht="25.5" customHeight="1" s="52">
      <c r="A14" s="128" t="n">
        <v>46238</v>
      </c>
      <c r="B14" s="75" t="n"/>
      <c r="C14" s="126" t="inlineStr">
        <is>
          <t>মাংস</t>
        </is>
      </c>
      <c r="D14" s="109">
        <f t="array" ref="D14:D14">IFERROR(INDEX(GroupLookup,MATCH(C14,CategoryList,0)),"")</f>
        <v/>
      </c>
      <c r="E14" s="127" t="n">
        <v>1900</v>
      </c>
      <c r="F14" s="75" t="n"/>
      <c r="G14" s="75" t="n"/>
      <c r="I14" s="119" t="n"/>
    </row>
    <row r="15" ht="15" customHeight="1" s="52">
      <c r="A15" s="128" t="n">
        <v>46238</v>
      </c>
      <c r="B15" s="115" t="inlineStr">
        <is>
          <t>আদা,রসুন,আদা,পেঁয়াজ</t>
        </is>
      </c>
      <c r="C15" s="115" t="inlineStr">
        <is>
          <t>অন্যান্য খরচ</t>
        </is>
      </c>
      <c r="D15" s="109">
        <f t="array" ref="D15:D15">IFERROR(INDEX(GroupLookup,MATCH(C15,CategoryList,0)),"")</f>
        <v/>
      </c>
      <c r="E15" s="116" t="n">
        <v>530</v>
      </c>
      <c r="F15" s="76" t="n"/>
      <c r="G15" s="76" t="n"/>
      <c r="I15" s="67" t="inlineStr">
        <is>
          <t>মোট লেনদেন সংখ্যা</t>
        </is>
      </c>
      <c r="J15" s="120">
        <f>COUNT($E$4:$E$203)</f>
        <v/>
      </c>
      <c r="K15" s="62" t="n"/>
    </row>
    <row r="16" ht="15" customHeight="1" s="52">
      <c r="A16" s="128" t="n">
        <v>46238</v>
      </c>
      <c r="B16" s="126" t="inlineStr">
        <is>
          <t xml:space="preserve">মুখী </t>
        </is>
      </c>
      <c r="C16" s="126" t="inlineStr">
        <is>
          <t>শাক-সবজি</t>
        </is>
      </c>
      <c r="D16" s="109">
        <f t="array" ref="D16:D16">IFERROR(INDEX(GroupLookup,MATCH(C16,CategoryList,0)),"")</f>
        <v/>
      </c>
      <c r="E16" s="127" t="n">
        <v>80</v>
      </c>
      <c r="F16" s="75" t="n"/>
      <c r="G16" s="75" t="n"/>
      <c r="I16" s="70" t="inlineStr">
        <is>
          <t>দৈনিক গড় খরচ</t>
        </is>
      </c>
      <c r="J16" s="121">
        <f>IFERROR($J$12/31,0)</f>
        <v/>
      </c>
      <c r="K16" s="62" t="n"/>
    </row>
    <row r="17" ht="15" customHeight="1" s="52">
      <c r="A17" s="128" t="n">
        <v>46238</v>
      </c>
      <c r="B17" s="76" t="inlineStr">
        <is>
          <t xml:space="preserve">শসা </t>
        </is>
      </c>
      <c r="C17" s="115" t="inlineStr">
        <is>
          <t>শাক-সবজি</t>
        </is>
      </c>
      <c r="D17" s="109">
        <f t="array" ref="D17:D17">IFERROR(INDEX(GroupLookup,MATCH(C17,CategoryList,0)),"")</f>
        <v/>
      </c>
      <c r="E17" s="116" t="n">
        <v>80</v>
      </c>
      <c r="F17" s="76" t="n"/>
      <c r="G17" s="76" t="n"/>
      <c r="I17" s="67" t="inlineStr">
        <is>
          <t>প্রতি লেনদেনে গড়</t>
        </is>
      </c>
      <c r="J17" s="122">
        <f>IFERROR($J$12/COUNT($E$4:$E$203),0)</f>
        <v/>
      </c>
      <c r="K17" s="62" t="n"/>
    </row>
    <row r="18" ht="15" customHeight="1" s="52">
      <c r="A18" s="128" t="n">
        <v>46238</v>
      </c>
      <c r="B18" s="75" t="n"/>
      <c r="C18" s="126" t="inlineStr">
        <is>
          <t>ওষুধ</t>
        </is>
      </c>
      <c r="D18" s="109">
        <f t="array" ref="D18:D18">IFERROR(INDEX(GroupLookup,MATCH(C18,CategoryList,0)),"")</f>
        <v/>
      </c>
      <c r="E18" s="127" t="n">
        <v>85</v>
      </c>
      <c r="F18" s="75" t="n"/>
      <c r="G18" s="75" t="n"/>
      <c r="I18" s="70" t="inlineStr">
        <is>
          <t>সর্বোচ্চ একক খরচ</t>
        </is>
      </c>
      <c r="J18" s="121">
        <f>IFERROR(MAX($E$4:$E$203),0)</f>
        <v/>
      </c>
      <c r="K18" s="62" t="n"/>
    </row>
    <row r="19" ht="15" customHeight="1" s="52">
      <c r="A19" s="128" t="n">
        <v>46238</v>
      </c>
      <c r="B19" s="76" t="n"/>
      <c r="C19" s="76" t="inlineStr">
        <is>
          <t>ডাক্তারের ফি</t>
        </is>
      </c>
      <c r="D19" s="109">
        <f t="array" ref="D19:D19">IFERROR(INDEX(GroupLookup,MATCH(C19,CategoryList,0)),"")</f>
        <v/>
      </c>
      <c r="E19" s="112" t="n">
        <v>600</v>
      </c>
      <c r="F19" s="76" t="n"/>
      <c r="G19" s="76" t="n"/>
      <c r="I19" s="67" t="inlineStr">
        <is>
          <t>সর্বোচ্চ ব্যয়ের গ্রুপ</t>
        </is>
      </c>
      <c r="J19" s="123">
        <f t="array" ref="J19:J19">IF($J$12=0,"–",IFERROR(INDEX($I$4:$I$11,MATCH(MAX($J$4:$J$11),$J$4:$J$11,0)),"–"))</f>
        <v/>
      </c>
      <c r="K19" s="62" t="n"/>
    </row>
    <row r="20" ht="15" customHeight="1" s="52">
      <c r="A20" s="128" t="n">
        <v>46238</v>
      </c>
      <c r="B20" s="75" t="n"/>
      <c r="C20" s="75" t="inlineStr">
        <is>
          <t>রিকশা / সিএনজি</t>
        </is>
      </c>
      <c r="D20" s="109">
        <f t="array" ref="D20:D20">IFERROR(INDEX(GroupLookup,MATCH(C20,CategoryList,0)),"")</f>
        <v/>
      </c>
      <c r="E20" s="110" t="n">
        <v>20</v>
      </c>
      <c r="F20" s="75" t="n"/>
      <c r="G20" s="75" t="n"/>
      <c r="I20" s="70" t="inlineStr">
        <is>
          <t>সর্বোচ্চ ব্যয়ের খাত</t>
        </is>
      </c>
      <c r="J20" s="124">
        <f t="array" ref="J20:J20">IF($J$12=0,"–",IFERROR(INDEX($I$23:$I$76,MATCH(MAX($J$23:$J$76),$J$23:$J$76,0)),"–"))</f>
        <v/>
      </c>
      <c r="K20" s="62" t="n"/>
    </row>
    <row r="21" ht="25.5" customHeight="1" s="52">
      <c r="A21" s="128" t="n">
        <v>46238</v>
      </c>
      <c r="B21" s="76" t="n"/>
      <c r="C21" s="115" t="inlineStr">
        <is>
          <t>ওষুধ</t>
        </is>
      </c>
      <c r="D21" s="109">
        <f t="array" ref="D21:D21">IFERROR(INDEX(GroupLookup,MATCH(C21,CategoryList,0)),"")</f>
        <v/>
      </c>
      <c r="E21" s="116" t="n">
        <v>730</v>
      </c>
      <c r="F21" s="76" t="n"/>
      <c r="G21" s="76" t="n"/>
      <c r="I21" s="119" t="inlineStr">
        <is>
          <t>খাতভিত্তিক বিস্তারিত</t>
        </is>
      </c>
    </row>
    <row r="22" ht="15.75" customHeight="1" s="52">
      <c r="A22" s="128" t="n">
        <v>46238</v>
      </c>
      <c r="B22" s="75" t="n"/>
      <c r="C22" s="126" t="inlineStr">
        <is>
          <t>ওষুধ</t>
        </is>
      </c>
      <c r="D22" s="109">
        <f t="array" ref="D22:D22">IFERROR(INDEX(GroupLookup,MATCH(C22,CategoryList,0)),"")</f>
        <v/>
      </c>
      <c r="E22" s="127" t="n">
        <v>160</v>
      </c>
      <c r="F22" s="75" t="n"/>
      <c r="G22" s="75" t="n"/>
      <c r="I22" s="100" t="inlineStr">
        <is>
          <t>খাত</t>
        </is>
      </c>
      <c r="J22" s="100" t="inlineStr">
        <is>
          <t>মোট (৳)</t>
        </is>
      </c>
      <c r="K22" s="100" t="inlineStr">
        <is>
          <t>শতাংশ</t>
        </is>
      </c>
    </row>
    <row r="23" ht="15.75" customHeight="1" s="52">
      <c r="A23" s="128" t="n">
        <v>46238</v>
      </c>
      <c r="B23" s="76" t="n"/>
      <c r="C23" s="115" t="inlineStr">
        <is>
          <t>ওষুধ</t>
        </is>
      </c>
      <c r="D23" s="109">
        <f t="array" ref="D23:D23">IFERROR(INDEX(GroupLookup,MATCH(C23,CategoryList,0)),"")</f>
        <v/>
      </c>
      <c r="E23" s="116" t="n">
        <v>500</v>
      </c>
      <c r="F23" s="76" t="n"/>
      <c r="G23" s="76" t="n"/>
      <c r="I23" s="75" t="inlineStr">
        <is>
          <t>চাল</t>
        </is>
      </c>
      <c r="J23" s="110">
        <f>SUMIF($C$4:$C$203,$I23,$E$4:$E$203)</f>
        <v/>
      </c>
      <c r="K23" s="111">
        <f>IFERROR($J23/$J$12,0)</f>
        <v/>
      </c>
    </row>
    <row r="24" ht="15.75" customHeight="1" s="52">
      <c r="A24" s="128" t="n">
        <v>46238</v>
      </c>
      <c r="B24" s="75" t="n"/>
      <c r="C24" s="126" t="inlineStr">
        <is>
          <t>অন্যান্য খরচ</t>
        </is>
      </c>
      <c r="D24" s="109">
        <f t="array" ref="D24:D24">IFERROR(INDEX(GroupLookup,MATCH(C24,CategoryList,0)),"")</f>
        <v/>
      </c>
      <c r="E24" s="127" t="n">
        <v>240</v>
      </c>
      <c r="F24" s="75" t="n"/>
      <c r="G24" s="75" t="n"/>
      <c r="I24" s="76" t="inlineStr">
        <is>
          <t>আটা ও ময়দা</t>
        </is>
      </c>
      <c r="J24" s="112">
        <f>SUMIF($C$4:$C$203,$I24,$E$4:$E$203)</f>
        <v/>
      </c>
      <c r="K24" s="113">
        <f>IFERROR($J24/$J$12,0)</f>
        <v/>
      </c>
    </row>
    <row r="25" ht="15.75" customHeight="1" s="52">
      <c r="A25" s="128" t="n">
        <v>46240</v>
      </c>
      <c r="B25" s="76" t="n"/>
      <c r="C25" s="115" t="inlineStr">
        <is>
          <t>সেলুন / পার্লার</t>
        </is>
      </c>
      <c r="D25" s="109">
        <f t="array" ref="D25:D25">IFERROR(INDEX(GroupLookup,MATCH(C25,CategoryList,0)),"")</f>
        <v/>
      </c>
      <c r="E25" s="116" t="n">
        <v>40</v>
      </c>
      <c r="F25" s="76" t="n"/>
      <c r="G25" s="76" t="n"/>
      <c r="I25" s="75" t="inlineStr">
        <is>
          <t>ডাল</t>
        </is>
      </c>
      <c r="J25" s="110">
        <f>SUMIF($C$4:$C$203,$I25,$E$4:$E$203)</f>
        <v/>
      </c>
      <c r="K25" s="111">
        <f>IFERROR($J25/$J$12,0)</f>
        <v/>
      </c>
    </row>
    <row r="26" ht="15.75" customHeight="1" s="52">
      <c r="A26" s="128" t="n">
        <v>46240</v>
      </c>
      <c r="B26" s="75" t="n"/>
      <c r="C26" s="126" t="inlineStr">
        <is>
          <t>রিকশা / সিএনজি</t>
        </is>
      </c>
      <c r="D26" s="109">
        <f t="array" ref="D26:D26">IFERROR(INDEX(GroupLookup,MATCH(C26,CategoryList,0)),"")</f>
        <v/>
      </c>
      <c r="E26" s="127" t="n">
        <v>25</v>
      </c>
      <c r="F26" s="75" t="n"/>
      <c r="G26" s="75" t="n"/>
      <c r="I26" s="76" t="inlineStr">
        <is>
          <t>মাছ</t>
        </is>
      </c>
      <c r="J26" s="112">
        <f>SUMIF($C$4:$C$203,$I26,$E$4:$E$203)</f>
        <v/>
      </c>
      <c r="K26" s="113">
        <f>IFERROR($J26/$J$12,0)</f>
        <v/>
      </c>
    </row>
    <row r="27" ht="15.75" customHeight="1" s="52">
      <c r="A27" s="128" t="n">
        <v>46241</v>
      </c>
      <c r="B27" s="76" t="inlineStr">
        <is>
          <t xml:space="preserve">মুরগী </t>
        </is>
      </c>
      <c r="C27" s="115" t="inlineStr">
        <is>
          <t>মাংস</t>
        </is>
      </c>
      <c r="D27" s="109">
        <f t="array" ref="D27:D27">IFERROR(INDEX(GroupLookup,MATCH(C27,CategoryList,0)),"")</f>
        <v/>
      </c>
      <c r="E27" s="116" t="n">
        <v>700</v>
      </c>
      <c r="F27" s="76" t="n"/>
      <c r="G27" s="76" t="n"/>
      <c r="I27" s="75" t="inlineStr">
        <is>
          <t>মাংস</t>
        </is>
      </c>
      <c r="J27" s="110">
        <f>SUMIF($C$4:$C$203,$I27,$E$4:$E$203)</f>
        <v/>
      </c>
      <c r="K27" s="111">
        <f>IFERROR($J27/$J$12,0)</f>
        <v/>
      </c>
    </row>
    <row r="28" ht="15.75" customHeight="1" s="52">
      <c r="A28" s="128" t="n">
        <v>46241</v>
      </c>
      <c r="B28" s="75" t="n"/>
      <c r="C28" s="126" t="inlineStr">
        <is>
          <t>ফলমূল</t>
        </is>
      </c>
      <c r="D28" s="109">
        <f t="array" ref="D28:D28">IFERROR(INDEX(GroupLookup,MATCH(C28,CategoryList,0)),"")</f>
        <v/>
      </c>
      <c r="E28" s="127" t="n">
        <v>80</v>
      </c>
      <c r="F28" s="75" t="n"/>
      <c r="G28" s="75" t="n"/>
      <c r="I28" s="76" t="inlineStr">
        <is>
          <t>ডিম</t>
        </is>
      </c>
      <c r="J28" s="112">
        <f>SUMIF($C$4:$C$203,$I28,$E$4:$E$203)</f>
        <v/>
      </c>
      <c r="K28" s="113">
        <f>IFERROR($J28/$J$12,0)</f>
        <v/>
      </c>
    </row>
    <row r="29" ht="15.75" customHeight="1" s="52">
      <c r="A29" s="128" t="n">
        <v>46241</v>
      </c>
      <c r="B29" s="76" t="n"/>
      <c r="C29" s="115" t="inlineStr">
        <is>
          <t>শাক-সবজি</t>
        </is>
      </c>
      <c r="D29" s="109">
        <f t="array" ref="D29:D29">IFERROR(INDEX(GroupLookup,MATCH(C29,CategoryList,0)),"")</f>
        <v/>
      </c>
      <c r="E29" s="116" t="n">
        <v>120</v>
      </c>
      <c r="F29" s="76" t="n"/>
      <c r="G29" s="76" t="n"/>
      <c r="I29" s="75" t="inlineStr">
        <is>
          <t>দুধ ও দুগ্ধজাত পণ্য</t>
        </is>
      </c>
      <c r="J29" s="110">
        <f>SUMIF($C$4:$C$203,$I29,$E$4:$E$203)</f>
        <v/>
      </c>
      <c r="K29" s="111">
        <f>IFERROR($J29/$J$12,0)</f>
        <v/>
      </c>
    </row>
    <row r="30" ht="15.75" customHeight="1" s="52">
      <c r="A30" s="128" t="n">
        <v>46242</v>
      </c>
      <c r="B30" s="75" t="n"/>
      <c r="C30" s="75" t="inlineStr">
        <is>
          <t>রিকশা / সিএনজি</t>
        </is>
      </c>
      <c r="D30" s="109">
        <f t="array" ref="D30:D30">IFERROR(INDEX(GroupLookup,MATCH(C30,CategoryList,0)),"")</f>
        <v/>
      </c>
      <c r="E30" s="110" t="n">
        <v>320</v>
      </c>
      <c r="F30" s="75" t="n"/>
      <c r="G30" s="75" t="n"/>
      <c r="I30" s="76" t="inlineStr">
        <is>
          <t>ভোজ্য তেল</t>
        </is>
      </c>
      <c r="J30" s="112">
        <f>SUMIF($C$4:$C$203,$I30,$E$4:$E$203)</f>
        <v/>
      </c>
      <c r="K30" s="113">
        <f>IFERROR($J30/$J$12,0)</f>
        <v/>
      </c>
    </row>
    <row r="31" ht="15.75" customHeight="1" s="52">
      <c r="A31" s="128" t="n">
        <v>46242</v>
      </c>
      <c r="B31" s="76" t="n"/>
      <c r="C31" s="76" t="inlineStr">
        <is>
          <t>বাস / ট্রেন / লঞ্চ ভাড়া</t>
        </is>
      </c>
      <c r="D31" s="109">
        <f t="array" ref="D31:D31">IFERROR(INDEX(GroupLookup,MATCH(C31,CategoryList,0)),"")</f>
        <v/>
      </c>
      <c r="E31" s="112" t="n">
        <v>70</v>
      </c>
      <c r="F31" s="76" t="n"/>
      <c r="G31" s="76" t="n"/>
      <c r="I31" s="75" t="inlineStr">
        <is>
          <t>শাক-সবজি</t>
        </is>
      </c>
      <c r="J31" s="110">
        <f>SUMIF($C$4:$C$203,$I31,$E$4:$E$203)</f>
        <v/>
      </c>
      <c r="K31" s="111">
        <f>IFERROR($J31/$J$12,0)</f>
        <v/>
      </c>
    </row>
    <row r="32" ht="15.75" customHeight="1" s="52">
      <c r="A32" s="128" t="n">
        <v>46242</v>
      </c>
      <c r="B32" s="75" t="n"/>
      <c r="C32" s="75" t="inlineStr">
        <is>
          <t>রিকশা / সিএনজি</t>
        </is>
      </c>
      <c r="D32" s="109">
        <f t="array" ref="D32:D32">IFERROR(INDEX(GroupLookup,MATCH(C32,CategoryList,0)),"")</f>
        <v/>
      </c>
      <c r="E32" s="110" t="n">
        <v>70</v>
      </c>
      <c r="F32" s="75" t="n"/>
      <c r="G32" s="75" t="n"/>
      <c r="I32" s="76" t="inlineStr">
        <is>
          <t>ফলমূল</t>
        </is>
      </c>
      <c r="J32" s="112">
        <f>SUMIF($C$4:$C$203,$I32,$E$4:$E$203)</f>
        <v/>
      </c>
      <c r="K32" s="113">
        <f>IFERROR($J32/$J$12,0)</f>
        <v/>
      </c>
    </row>
    <row r="33" ht="15.75" customHeight="1" s="52">
      <c r="A33" s="128" t="n">
        <v>46242</v>
      </c>
      <c r="B33" s="76" t="n"/>
      <c r="C33" s="76" t="inlineStr">
        <is>
          <t>চিকিৎসা পরীক্ষা</t>
        </is>
      </c>
      <c r="D33" s="109">
        <f t="array" ref="D33:D33">IFERROR(INDEX(GroupLookup,MATCH(C33,CategoryList,0)),"")</f>
        <v/>
      </c>
      <c r="E33" s="112" t="n">
        <v>800</v>
      </c>
      <c r="F33" s="76" t="n"/>
      <c r="G33" s="76" t="n"/>
      <c r="I33" s="75" t="inlineStr">
        <is>
          <t>মসলা</t>
        </is>
      </c>
      <c r="J33" s="110">
        <f>SUMIF($C$4:$C$203,$I33,$E$4:$E$203)</f>
        <v/>
      </c>
      <c r="K33" s="111">
        <f>IFERROR($J33/$J$12,0)</f>
        <v/>
      </c>
    </row>
    <row r="34" ht="15.75" customHeight="1" s="52">
      <c r="A34" s="128" t="n">
        <v>46242</v>
      </c>
      <c r="B34" s="75" t="inlineStr">
        <is>
          <t>পানি</t>
        </is>
      </c>
      <c r="C34" s="75" t="inlineStr">
        <is>
          <t>বাইরে খাওয়া / রেস্তোরাঁ</t>
        </is>
      </c>
      <c r="D34" s="109">
        <f t="array" ref="D34:D34">IFERROR(INDEX(GroupLookup,MATCH(C34,CategoryList,0)),"")</f>
        <v/>
      </c>
      <c r="E34" s="110" t="n">
        <v>40</v>
      </c>
      <c r="F34" s="75" t="n"/>
      <c r="G34" s="75" t="n"/>
      <c r="I34" s="76" t="inlineStr">
        <is>
          <t>চিনি ও লবণ</t>
        </is>
      </c>
      <c r="J34" s="112">
        <f>SUMIF($C$4:$C$203,$I34,$E$4:$E$203)</f>
        <v/>
      </c>
      <c r="K34" s="113">
        <f>IFERROR($J34/$J$12,0)</f>
        <v/>
      </c>
    </row>
    <row r="35" ht="15.75" customHeight="1" s="52">
      <c r="A35" s="128" t="n">
        <v>46243</v>
      </c>
      <c r="B35" s="76" t="n"/>
      <c r="C35" s="115" t="inlineStr">
        <is>
          <t>দুধ ও দুগ্ধজাত পণ্য</t>
        </is>
      </c>
      <c r="D35" s="109">
        <f t="array" ref="D35:D35">IFERROR(INDEX(GroupLookup,MATCH(C35,CategoryList,0)),"")</f>
        <v/>
      </c>
      <c r="E35" s="116" t="n">
        <v>450</v>
      </c>
      <c r="F35" s="76" t="n"/>
      <c r="G35" s="76" t="n"/>
      <c r="I35" s="75" t="inlineStr">
        <is>
          <t>চা ও কফি</t>
        </is>
      </c>
      <c r="J35" s="110">
        <f>SUMIF($C$4:$C$203,$I35,$E$4:$E$203)</f>
        <v/>
      </c>
      <c r="K35" s="111">
        <f>IFERROR($J35/$J$12,0)</f>
        <v/>
      </c>
    </row>
    <row r="36" ht="15.75" customHeight="1" s="52">
      <c r="A36" s="128" t="n">
        <v>46243</v>
      </c>
      <c r="B36" s="75" t="n"/>
      <c r="C36" s="126" t="inlineStr">
        <is>
          <t>শাক-সবজি</t>
        </is>
      </c>
      <c r="D36" s="109">
        <f t="array" ref="D36:D36">IFERROR(INDEX(GroupLookup,MATCH(C36,CategoryList,0)),"")</f>
        <v/>
      </c>
      <c r="E36" s="127" t="n">
        <v>20</v>
      </c>
      <c r="F36" s="75" t="n"/>
      <c r="G36" s="75" t="n"/>
      <c r="I36" s="76" t="inlineStr">
        <is>
          <t>নাশতা ও বেকারি</t>
        </is>
      </c>
      <c r="J36" s="112">
        <f>SUMIF($C$4:$C$203,$I36,$E$4:$E$203)</f>
        <v/>
      </c>
      <c r="K36" s="113">
        <f>IFERROR($J36/$J$12,0)</f>
        <v/>
      </c>
    </row>
    <row r="37" ht="15.75" customHeight="1" s="52">
      <c r="A37" s="128" t="n">
        <v>46243</v>
      </c>
      <c r="B37" s="115" t="inlineStr">
        <is>
          <t>আদা,পেঁয়াজ</t>
        </is>
      </c>
      <c r="C37" s="115" t="inlineStr">
        <is>
          <t>মসলা</t>
        </is>
      </c>
      <c r="D37" s="109">
        <f t="array" ref="D37:D37">IFERROR(INDEX(GroupLookup,MATCH(C37,CategoryList,0)),"")</f>
        <v/>
      </c>
      <c r="E37" s="116" t="n">
        <v>90</v>
      </c>
      <c r="F37" s="76" t="n"/>
      <c r="G37" s="76" t="n"/>
      <c r="I37" s="75" t="inlineStr">
        <is>
          <t>বাইরে খাওয়া / রেস্তোরাঁ</t>
        </is>
      </c>
      <c r="J37" s="110">
        <f>SUMIF($C$4:$C$203,$I37,$E$4:$E$203)</f>
        <v/>
      </c>
      <c r="K37" s="111">
        <f>IFERROR($J37/$J$12,0)</f>
        <v/>
      </c>
    </row>
    <row r="38" ht="15.75" customHeight="1" s="52">
      <c r="A38" s="128" t="n">
        <v>46243</v>
      </c>
      <c r="B38" s="126" t="inlineStr">
        <is>
          <t xml:space="preserve">লেবু + ঢেঁড়স +কাঁচা মরিচ </t>
        </is>
      </c>
      <c r="C38" s="126" t="inlineStr">
        <is>
          <t>শাক-সবজি</t>
        </is>
      </c>
      <c r="D38" s="109">
        <f t="array" ref="D38:D38">IFERROR(INDEX(GroupLookup,MATCH(C38,CategoryList,0)),"")</f>
        <v/>
      </c>
      <c r="E38" s="127" t="n">
        <v>170</v>
      </c>
      <c r="F38" s="75" t="n"/>
      <c r="G38" s="75" t="n"/>
      <c r="I38" s="76" t="inlineStr">
        <is>
          <t>বাড়ি ভাড়া</t>
        </is>
      </c>
      <c r="J38" s="112">
        <f>SUMIF($C$4:$C$203,$I38,$E$4:$E$203)</f>
        <v/>
      </c>
      <c r="K38" s="113">
        <f>IFERROR($J38/$J$12,0)</f>
        <v/>
      </c>
    </row>
    <row r="39" ht="15.75" customHeight="1" s="52">
      <c r="A39" s="128" t="n">
        <v>46243</v>
      </c>
      <c r="B39" s="76" t="n"/>
      <c r="C39" s="115" t="inlineStr">
        <is>
          <t>ডাল</t>
        </is>
      </c>
      <c r="D39" s="109">
        <f t="array" ref="D39:D39">IFERROR(INDEX(GroupLookup,MATCH(C39,CategoryList,0)),"")</f>
        <v/>
      </c>
      <c r="E39" s="116" t="n">
        <v>90</v>
      </c>
      <c r="F39" s="76" t="n"/>
      <c r="G39" s="76" t="n"/>
      <c r="I39" s="75" t="inlineStr">
        <is>
          <t>সার্ভিস চার্জ</t>
        </is>
      </c>
      <c r="J39" s="110">
        <f>SUMIF($C$4:$C$203,$I39,$E$4:$E$203)</f>
        <v/>
      </c>
      <c r="K39" s="111">
        <f>IFERROR($J39/$J$12,0)</f>
        <v/>
      </c>
    </row>
    <row r="40" ht="15.75" customHeight="1" s="52">
      <c r="A40" s="128" t="n">
        <v>46243</v>
      </c>
      <c r="B40" s="75" t="n"/>
      <c r="C40" s="126" t="inlineStr">
        <is>
          <t>রিকশা / সিএনজি</t>
        </is>
      </c>
      <c r="D40" s="109">
        <f t="array" ref="D40:D40">IFERROR(INDEX(GroupLookup,MATCH(C40,CategoryList,0)),"")</f>
        <v/>
      </c>
      <c r="E40" s="127" t="n">
        <v>10</v>
      </c>
      <c r="F40" s="75" t="n"/>
      <c r="G40" s="75" t="n"/>
      <c r="I40" s="76" t="inlineStr">
        <is>
          <t>বাড়ি মেরামত ও রক্ষণাবেক্ষণ</t>
        </is>
      </c>
      <c r="J40" s="112">
        <f>SUMIF($C$4:$C$203,$I40,$E$4:$E$203)</f>
        <v/>
      </c>
      <c r="K40" s="113">
        <f>IFERROR($J40/$J$12,0)</f>
        <v/>
      </c>
    </row>
    <row r="41" ht="15.75" customHeight="1" s="52">
      <c r="A41" s="128" t="n">
        <v>46243</v>
      </c>
      <c r="B41" s="76" t="n"/>
      <c r="C41" s="115" t="inlineStr">
        <is>
          <t>পোশাক ও জুতা</t>
        </is>
      </c>
      <c r="D41" s="109">
        <f t="array" ref="D41:D41">IFERROR(INDEX(GroupLookup,MATCH(C41,CategoryList,0)),"")</f>
        <v/>
      </c>
      <c r="E41" s="116" t="n">
        <v>470</v>
      </c>
      <c r="F41" s="76" t="n"/>
      <c r="G41" s="76" t="n"/>
      <c r="I41" s="75" t="inlineStr">
        <is>
          <t>গৃহকর্মীর বেতন</t>
        </is>
      </c>
      <c r="J41" s="110">
        <f>SUMIF($C$4:$C$203,$I41,$E$4:$E$203)</f>
        <v/>
      </c>
      <c r="K41" s="111">
        <f>IFERROR($J41/$J$12,0)</f>
        <v/>
      </c>
    </row>
    <row r="42" ht="15.75" customHeight="1" s="52">
      <c r="A42" s="128" t="n">
        <v>46243</v>
      </c>
      <c r="B42" s="75" t="n"/>
      <c r="C42" s="126" t="inlineStr">
        <is>
          <t>প্রসাধনী ও পরিচর্যা</t>
        </is>
      </c>
      <c r="D42" s="109">
        <f t="array" ref="D42:D42">IFERROR(INDEX(GroupLookup,MATCH(C42,CategoryList,0)),"")</f>
        <v/>
      </c>
      <c r="E42" s="127" t="n">
        <v>385</v>
      </c>
      <c r="F42" s="75" t="n"/>
      <c r="G42" s="75" t="n"/>
      <c r="I42" s="76" t="inlineStr">
        <is>
          <t>আসবাবপত্র</t>
        </is>
      </c>
      <c r="J42" s="112">
        <f>SUMIF($C$4:$C$203,$I42,$E$4:$E$203)</f>
        <v/>
      </c>
      <c r="K42" s="113">
        <f>IFERROR($J42/$J$12,0)</f>
        <v/>
      </c>
    </row>
    <row r="43" ht="15.75" customHeight="1" s="52">
      <c r="A43" s="128" t="n">
        <v>46244</v>
      </c>
      <c r="B43" s="76" t="n"/>
      <c r="C43" s="76" t="inlineStr">
        <is>
          <t>রিকশা / সিএনজি</t>
        </is>
      </c>
      <c r="D43" s="109">
        <f t="array" ref="D43:D43">IFERROR(INDEX(GroupLookup,MATCH(C43,CategoryList,0)),"")</f>
        <v/>
      </c>
      <c r="E43" s="112" t="n">
        <v>25</v>
      </c>
      <c r="F43" s="76" t="n"/>
      <c r="G43" s="76" t="n"/>
      <c r="I43" s="75" t="inlineStr">
        <is>
          <t>বিদ্যুৎ বিল</t>
        </is>
      </c>
      <c r="J43" s="110">
        <f>SUMIF($C$4:$C$203,$I43,$E$4:$E$203)</f>
        <v/>
      </c>
      <c r="K43" s="111">
        <f>IFERROR($J43/$J$12,0)</f>
        <v/>
      </c>
    </row>
    <row r="44" ht="15.75" customHeight="1" s="52">
      <c r="A44" s="128" t="n">
        <v>46244</v>
      </c>
      <c r="B44" s="75" t="n"/>
      <c r="C44" s="75" t="inlineStr">
        <is>
          <t>ফলমূল</t>
        </is>
      </c>
      <c r="D44" s="109">
        <f t="array" ref="D44:D44">IFERROR(INDEX(GroupLookup,MATCH(C44,CategoryList,0)),"")</f>
        <v/>
      </c>
      <c r="E44" s="110" t="n">
        <v>100</v>
      </c>
      <c r="F44" s="75" t="n"/>
      <c r="G44" s="75" t="n"/>
      <c r="I44" s="76" t="inlineStr">
        <is>
          <t>গ্যাস বিল</t>
        </is>
      </c>
      <c r="J44" s="112">
        <f>SUMIF($C$4:$C$203,$I44,$E$4:$E$203)</f>
        <v/>
      </c>
      <c r="K44" s="113">
        <f>IFERROR($J44/$J$12,0)</f>
        <v/>
      </c>
    </row>
    <row r="45" ht="15.75" customHeight="1" s="52">
      <c r="A45" s="128" t="n">
        <v>46245</v>
      </c>
      <c r="B45" s="76" t="n"/>
      <c r="C45" s="76" t="inlineStr">
        <is>
          <t>অন্যান্য খরচ</t>
        </is>
      </c>
      <c r="D45" s="109">
        <f t="array" ref="D45:D45">IFERROR(INDEX(GroupLookup,MATCH(C45,CategoryList,0)),"")</f>
        <v/>
      </c>
      <c r="E45" s="112" t="n">
        <v>300</v>
      </c>
      <c r="F45" s="76" t="n"/>
      <c r="G45" s="76" t="n"/>
      <c r="I45" s="75" t="inlineStr">
        <is>
          <t>পানির বিল</t>
        </is>
      </c>
      <c r="J45" s="110">
        <f>SUMIF($C$4:$C$203,$I45,$E$4:$E$203)</f>
        <v/>
      </c>
      <c r="K45" s="111">
        <f>IFERROR($J45/$J$12,0)</f>
        <v/>
      </c>
    </row>
    <row r="46" ht="15.75" customHeight="1" s="52">
      <c r="A46" s="128" t="n">
        <v>46245</v>
      </c>
      <c r="B46" s="75" t="n"/>
      <c r="C46" s="75" t="inlineStr">
        <is>
          <t>ডাক্তারের ফি</t>
        </is>
      </c>
      <c r="D46" s="109">
        <f t="array" ref="D46:D46">IFERROR(INDEX(GroupLookup,MATCH(C46,CategoryList,0)),"")</f>
        <v/>
      </c>
      <c r="E46" s="110" t="n">
        <v>450</v>
      </c>
      <c r="F46" s="75" t="n"/>
      <c r="G46" s="75" t="n"/>
      <c r="I46" s="76" t="inlineStr">
        <is>
          <t>ইন্টারনেট বিল</t>
        </is>
      </c>
      <c r="J46" s="112">
        <f>SUMIF($C$4:$C$203,$I46,$E$4:$E$203)</f>
        <v/>
      </c>
      <c r="K46" s="113">
        <f>IFERROR($J46/$J$12,0)</f>
        <v/>
      </c>
    </row>
    <row r="47" ht="15.75" customHeight="1" s="52">
      <c r="A47" s="128" t="n">
        <v>46245</v>
      </c>
      <c r="B47" s="76" t="n"/>
      <c r="C47" s="76" t="inlineStr">
        <is>
          <t>বাড়ি ভাড়া</t>
        </is>
      </c>
      <c r="D47" s="109">
        <f t="array" ref="D47:D47">IFERROR(INDEX(GroupLookup,MATCH(C47,CategoryList,0)),"")</f>
        <v/>
      </c>
      <c r="E47" s="112" t="n">
        <v>8400</v>
      </c>
      <c r="F47" s="76" t="n"/>
      <c r="G47" s="76" t="n"/>
      <c r="I47" s="75" t="inlineStr">
        <is>
          <t>মোবাইল রিচার্জ</t>
        </is>
      </c>
      <c r="J47" s="110">
        <f>SUMIF($C$4:$C$203,$I47,$E$4:$E$203)</f>
        <v/>
      </c>
      <c r="K47" s="111">
        <f>IFERROR($J47/$J$12,0)</f>
        <v/>
      </c>
    </row>
    <row r="48" ht="15.75" customHeight="1" s="52">
      <c r="A48" s="128" t="n">
        <v>46243</v>
      </c>
      <c r="B48" s="75" t="n"/>
      <c r="C48" s="75" t="inlineStr">
        <is>
          <t>গ্যাস বিল</t>
        </is>
      </c>
      <c r="D48" s="109">
        <f t="array" ref="D48:D48">IFERROR(INDEX(GroupLookup,MATCH(C48,CategoryList,0)),"")</f>
        <v/>
      </c>
      <c r="E48" s="110" t="n">
        <v>1650</v>
      </c>
      <c r="F48" s="75" t="n"/>
      <c r="G48" s="75" t="n"/>
      <c r="I48" s="76" t="inlineStr">
        <is>
          <t>ডিশ / ক্যাবল বিল</t>
        </is>
      </c>
      <c r="J48" s="112">
        <f>SUMIF($C$4:$C$203,$I48,$E$4:$E$203)</f>
        <v/>
      </c>
      <c r="K48" s="113">
        <f>IFERROR($J48/$J$12,0)</f>
        <v/>
      </c>
    </row>
    <row r="49" ht="15.75" customHeight="1" s="52">
      <c r="A49" s="128" t="n">
        <v>46245</v>
      </c>
      <c r="B49" s="76" t="n"/>
      <c r="C49" s="115" t="inlineStr">
        <is>
          <t>ওষুধ</t>
        </is>
      </c>
      <c r="D49" s="109">
        <f t="array" ref="D49:D49">IFERROR(INDEX(GroupLookup,MATCH(C49,CategoryList,0)),"")</f>
        <v/>
      </c>
      <c r="E49" s="116" t="n">
        <v>940</v>
      </c>
      <c r="F49" s="76" t="n"/>
      <c r="G49" s="76" t="n"/>
      <c r="I49" s="75" t="inlineStr">
        <is>
          <t>পৌর কর ও হোল্ডিং ট্যাক্স</t>
        </is>
      </c>
      <c r="J49" s="110">
        <f>SUMIF($C$4:$C$203,$I49,$E$4:$E$203)</f>
        <v/>
      </c>
      <c r="K49" s="111">
        <f>IFERROR($J49/$J$12,0)</f>
        <v/>
      </c>
    </row>
    <row r="50" ht="15.75" customHeight="1" s="52">
      <c r="A50" s="128" t="n">
        <v>46245</v>
      </c>
      <c r="B50" s="75" t="n"/>
      <c r="C50" s="126" t="inlineStr">
        <is>
          <t>রিকশা / সিএনজি</t>
        </is>
      </c>
      <c r="D50" s="109">
        <f t="array" ref="D50:D50">IFERROR(INDEX(GroupLookup,MATCH(C50,CategoryList,0)),"")</f>
        <v/>
      </c>
      <c r="E50" s="127" t="n">
        <v>20</v>
      </c>
      <c r="F50" s="75" t="n"/>
      <c r="G50" s="75" t="n"/>
      <c r="I50" s="76" t="inlineStr">
        <is>
          <t>ময়লা ও পরিচ্ছন্নতা বিল</t>
        </is>
      </c>
      <c r="J50" s="112">
        <f>SUMIF($C$4:$C$203,$I50,$E$4:$E$203)</f>
        <v/>
      </c>
      <c r="K50" s="113">
        <f>IFERROR($J50/$J$12,0)</f>
        <v/>
      </c>
    </row>
    <row r="51" ht="15.75" customHeight="1" s="52">
      <c r="A51" s="128" t="n">
        <v>46243</v>
      </c>
      <c r="B51" s="76" t="n"/>
      <c r="C51" s="76" t="inlineStr">
        <is>
          <t>মোবাইল রিচার্জ</t>
        </is>
      </c>
      <c r="D51" s="109">
        <f t="array" ref="D51:D51">IFERROR(INDEX(GroupLookup,MATCH(C51,CategoryList,0)),"")</f>
        <v/>
      </c>
      <c r="E51" s="112" t="n">
        <v>100</v>
      </c>
      <c r="F51" s="76" t="n"/>
      <c r="G51" s="76" t="n"/>
      <c r="I51" s="75" t="inlineStr">
        <is>
          <t>রিকশা / সিএনজি</t>
        </is>
      </c>
      <c r="J51" s="110">
        <f>SUMIF($C$4:$C$203,$I51,$E$4:$E$203)</f>
        <v/>
      </c>
      <c r="K51" s="111">
        <f>IFERROR($J51/$J$12,0)</f>
        <v/>
      </c>
    </row>
    <row r="52" ht="15.75" customHeight="1" s="52">
      <c r="A52" s="128" t="n">
        <v>46246</v>
      </c>
      <c r="B52" s="75" t="n"/>
      <c r="C52" s="75" t="inlineStr">
        <is>
          <t>মোবাইল রিচার্জ</t>
        </is>
      </c>
      <c r="D52" s="109">
        <f t="array" ref="D52:D52">IFERROR(INDEX(GroupLookup,MATCH(C52,CategoryList,0)),"")</f>
        <v/>
      </c>
      <c r="E52" s="110" t="n">
        <v>208</v>
      </c>
      <c r="F52" s="75" t="n"/>
      <c r="G52" s="75" t="n"/>
      <c r="I52" s="76" t="inlineStr">
        <is>
          <t>বাস / ট্রেন / লঞ্চ ভাড়া</t>
        </is>
      </c>
      <c r="J52" s="112">
        <f>SUMIF($C$4:$C$203,$I52,$E$4:$E$203)</f>
        <v/>
      </c>
      <c r="K52" s="113">
        <f>IFERROR($J52/$J$12,0)</f>
        <v/>
      </c>
    </row>
    <row r="53" ht="15.75" customHeight="1" s="52">
      <c r="A53" s="128" t="n">
        <v>46246</v>
      </c>
      <c r="B53" s="76" t="n"/>
      <c r="C53" s="76" t="inlineStr">
        <is>
          <t>নাশতা ও বেকারি</t>
        </is>
      </c>
      <c r="D53" s="109">
        <f t="array" ref="D53:D53">IFERROR(INDEX(GroupLookup,MATCH(C53,CategoryList,0)),"")</f>
        <v/>
      </c>
      <c r="E53" s="112" t="n">
        <v>30</v>
      </c>
      <c r="F53" s="76" t="n"/>
      <c r="G53" s="76" t="n"/>
      <c r="I53" s="75" t="inlineStr">
        <is>
          <t>রাইড শেয়ারিং</t>
        </is>
      </c>
      <c r="J53" s="110">
        <f>SUMIF($C$4:$C$203,$I53,$E$4:$E$203)</f>
        <v/>
      </c>
      <c r="K53" s="111">
        <f>IFERROR($J53/$J$12,0)</f>
        <v/>
      </c>
    </row>
    <row r="54" ht="15.75" customHeight="1" s="52">
      <c r="A54" s="125" t="n">
        <v>46247</v>
      </c>
      <c r="B54" s="75" t="n"/>
      <c r="C54" s="126" t="inlineStr">
        <is>
          <t>শাক-সবজি</t>
        </is>
      </c>
      <c r="D54" s="109">
        <f t="array" ref="D54:D54">IFERROR(INDEX(GroupLookup,MATCH(C54,CategoryList,0)),"")</f>
        <v/>
      </c>
      <c r="E54" s="127" t="n">
        <v>345</v>
      </c>
      <c r="F54" s="75" t="n"/>
      <c r="G54" s="75" t="n"/>
      <c r="I54" s="76" t="inlineStr">
        <is>
          <t>জ্বালানি (পেট্রোল / ডিজেল)</t>
        </is>
      </c>
      <c r="J54" s="112">
        <f>SUMIF($C$4:$C$203,$I54,$E$4:$E$203)</f>
        <v/>
      </c>
      <c r="K54" s="113">
        <f>IFERROR($J54/$J$12,0)</f>
        <v/>
      </c>
    </row>
    <row r="55" ht="15.75" customHeight="1" s="52">
      <c r="A55" s="125" t="n">
        <v>46247</v>
      </c>
      <c r="B55" s="76" t="n"/>
      <c r="C55" s="115" t="inlineStr">
        <is>
          <t>ফলমূল</t>
        </is>
      </c>
      <c r="D55" s="109">
        <f t="array" ref="D55:D55">IFERROR(INDEX(GroupLookup,MATCH(C55,CategoryList,0)),"")</f>
        <v/>
      </c>
      <c r="E55" s="116" t="n">
        <v>100</v>
      </c>
      <c r="F55" s="76" t="n"/>
      <c r="G55" s="76" t="n"/>
      <c r="I55" s="75" t="inlineStr">
        <is>
          <t>গাড়ি / বাইক রক্ষণাবেক্ষণ</t>
        </is>
      </c>
      <c r="J55" s="110">
        <f>SUMIF($C$4:$C$203,$I55,$E$4:$E$203)</f>
        <v/>
      </c>
      <c r="K55" s="111">
        <f>IFERROR($J55/$J$12,0)</f>
        <v/>
      </c>
    </row>
    <row r="56" ht="15.75" customHeight="1" s="52">
      <c r="A56" s="125" t="n">
        <v>46247</v>
      </c>
      <c r="B56" s="75" t="n"/>
      <c r="C56" s="126" t="inlineStr">
        <is>
          <t>ডিম</t>
        </is>
      </c>
      <c r="D56" s="109">
        <f t="array" ref="D56:D56">IFERROR(INDEX(GroupLookup,MATCH(C56,CategoryList,0)),"")</f>
        <v/>
      </c>
      <c r="E56" s="127" t="n">
        <v>140</v>
      </c>
      <c r="F56" s="75" t="n"/>
      <c r="G56" s="75" t="n"/>
      <c r="I56" s="76" t="inlineStr">
        <is>
          <t>পার্কিং ও টোল</t>
        </is>
      </c>
      <c r="J56" s="112">
        <f>SUMIF($C$4:$C$203,$I56,$E$4:$E$203)</f>
        <v/>
      </c>
      <c r="K56" s="113">
        <f>IFERROR($J56/$J$12,0)</f>
        <v/>
      </c>
    </row>
    <row r="57" ht="15.75" customHeight="1" s="52">
      <c r="A57" s="125" t="n">
        <v>46247</v>
      </c>
      <c r="B57" s="76" t="n"/>
      <c r="C57" s="115" t="inlineStr">
        <is>
          <t>রিকশা / সিএনজি</t>
        </is>
      </c>
      <c r="D57" s="109">
        <f t="array" ref="D57:D57">IFERROR(INDEX(GroupLookup,MATCH(C57,CategoryList,0)),"")</f>
        <v/>
      </c>
      <c r="E57" s="116" t="n">
        <v>35</v>
      </c>
      <c r="F57" s="76" t="n"/>
      <c r="G57" s="76" t="n"/>
      <c r="I57" s="75" t="inlineStr">
        <is>
          <t>ওষুধ</t>
        </is>
      </c>
      <c r="J57" s="110">
        <f>SUMIF($C$4:$C$203,$I57,$E$4:$E$203)</f>
        <v/>
      </c>
      <c r="K57" s="111">
        <f>IFERROR($J57/$J$12,0)</f>
        <v/>
      </c>
    </row>
    <row r="58" ht="15.75" customHeight="1" s="52">
      <c r="A58" s="125" t="n">
        <v>46247</v>
      </c>
      <c r="B58" s="75" t="n"/>
      <c r="C58" s="126" t="inlineStr">
        <is>
          <t>পোশাক ও জুতা</t>
        </is>
      </c>
      <c r="D58" s="109">
        <f t="array" ref="D58:D58">IFERROR(INDEX(GroupLookup,MATCH(C58,CategoryList,0)),"")</f>
        <v/>
      </c>
      <c r="E58" s="127" t="n">
        <v>700</v>
      </c>
      <c r="F58" s="75" t="n"/>
      <c r="G58" s="75" t="n"/>
      <c r="I58" s="76" t="inlineStr">
        <is>
          <t>ডাক্তারের ফি</t>
        </is>
      </c>
      <c r="J58" s="112">
        <f>SUMIF($C$4:$C$203,$I58,$E$4:$E$203)</f>
        <v/>
      </c>
      <c r="K58" s="113">
        <f>IFERROR($J58/$J$12,0)</f>
        <v/>
      </c>
    </row>
    <row r="59" ht="15.75" customHeight="1" s="52">
      <c r="A59" s="125" t="n">
        <v>46248</v>
      </c>
      <c r="B59" s="76" t="n"/>
      <c r="C59" s="115" t="inlineStr">
        <is>
          <t>দান ও যাকাত</t>
        </is>
      </c>
      <c r="D59" s="109">
        <f t="array" ref="D59:D59">IFERROR(INDEX(GroupLookup,MATCH(C59,CategoryList,0)),"")</f>
        <v/>
      </c>
      <c r="E59" s="116" t="n">
        <v>20</v>
      </c>
      <c r="F59" s="76" t="n"/>
      <c r="G59" s="76" t="n"/>
      <c r="I59" s="75" t="inlineStr">
        <is>
          <t>চিকিৎসা পরীক্ষা</t>
        </is>
      </c>
      <c r="J59" s="110">
        <f>SUMIF($C$4:$C$203,$I59,$E$4:$E$203)</f>
        <v/>
      </c>
      <c r="K59" s="111">
        <f>IFERROR($J59/$J$12,0)</f>
        <v/>
      </c>
    </row>
    <row r="60" ht="15.75" customHeight="1" s="52">
      <c r="A60" s="125" t="n">
        <v>46248</v>
      </c>
      <c r="B60" s="75" t="n"/>
      <c r="C60" s="126" t="inlineStr">
        <is>
          <t>রিকশা / সিএনজি</t>
        </is>
      </c>
      <c r="D60" s="109">
        <f t="array" ref="D60:D60">IFERROR(INDEX(GroupLookup,MATCH(C60,CategoryList,0)),"")</f>
        <v/>
      </c>
      <c r="E60" s="127" t="n">
        <v>25</v>
      </c>
      <c r="F60" s="75" t="n"/>
      <c r="G60" s="75" t="n"/>
      <c r="I60" s="76" t="inlineStr">
        <is>
          <t>স্বাস্থ্য বীমা</t>
        </is>
      </c>
      <c r="J60" s="112">
        <f>SUMIF($C$4:$C$203,$I60,$E$4:$E$203)</f>
        <v/>
      </c>
      <c r="K60" s="113">
        <f>IFERROR($J60/$J$12,0)</f>
        <v/>
      </c>
    </row>
    <row r="61" ht="15.75" customHeight="1" s="52">
      <c r="A61" s="125" t="n">
        <v>46248</v>
      </c>
      <c r="B61" s="76" t="n"/>
      <c r="C61" s="115" t="inlineStr">
        <is>
          <t>ওষুধ</t>
        </is>
      </c>
      <c r="D61" s="109">
        <f t="array" ref="D61:D61">IFERROR(INDEX(GroupLookup,MATCH(C61,CategoryList,0)),"")</f>
        <v/>
      </c>
      <c r="E61" s="116" t="n">
        <v>230</v>
      </c>
      <c r="F61" s="76" t="n"/>
      <c r="G61" s="76" t="n"/>
      <c r="I61" s="75" t="inlineStr">
        <is>
          <t>স্কুল / কলেজ ফি</t>
        </is>
      </c>
      <c r="J61" s="110">
        <f>SUMIF($C$4:$C$203,$I61,$E$4:$E$203)</f>
        <v/>
      </c>
      <c r="K61" s="111">
        <f>IFERROR($J61/$J$12,0)</f>
        <v/>
      </c>
    </row>
    <row r="62" ht="15.75" customHeight="1" s="52">
      <c r="A62" s="125" t="n">
        <v>46248</v>
      </c>
      <c r="B62" s="75" t="n"/>
      <c r="C62" s="126" t="inlineStr">
        <is>
          <t>দান ও যাকাত</t>
        </is>
      </c>
      <c r="D62" s="109">
        <f t="array" ref="D62:D62">IFERROR(INDEX(GroupLookup,MATCH(C62,CategoryList,0)),"")</f>
        <v/>
      </c>
      <c r="E62" s="127" t="n">
        <v>20</v>
      </c>
      <c r="F62" s="75" t="n"/>
      <c r="G62" s="75" t="n"/>
      <c r="I62" s="76" t="inlineStr">
        <is>
          <t>প্রাইভেট / কোচিং</t>
        </is>
      </c>
      <c r="J62" s="112">
        <f>SUMIF($C$4:$C$203,$I62,$E$4:$E$203)</f>
        <v/>
      </c>
      <c r="K62" s="113">
        <f>IFERROR($J62/$J$12,0)</f>
        <v/>
      </c>
    </row>
    <row r="63" ht="15.75" customHeight="1" s="52">
      <c r="A63" s="125" t="n">
        <v>46249</v>
      </c>
      <c r="B63" s="75" t="n"/>
      <c r="C63" s="126" t="inlineStr">
        <is>
          <t>মাছ</t>
        </is>
      </c>
      <c r="D63" s="109">
        <f t="array" ref="D63:D63">IFERROR(INDEX(GroupLookup,MATCH(C63,CategoryList,0)),"")</f>
        <v/>
      </c>
      <c r="E63" s="127" t="n">
        <v>500</v>
      </c>
      <c r="F63" s="76" t="n"/>
      <c r="G63" s="76" t="n"/>
      <c r="I63" s="75" t="inlineStr">
        <is>
          <t>বই ও শিক্ষা উপকরণ</t>
        </is>
      </c>
      <c r="J63" s="110">
        <f>SUMIF($C$4:$C$203,$I63,$E$4:$E$203)</f>
        <v/>
      </c>
      <c r="K63" s="111">
        <f>IFERROR($J63/$J$12,0)</f>
        <v/>
      </c>
    </row>
    <row r="64" ht="15.75" customHeight="1" s="52">
      <c r="A64" s="125" t="n">
        <v>46249</v>
      </c>
      <c r="B64" s="76" t="n"/>
      <c r="C64" s="115" t="inlineStr">
        <is>
          <t>চাল</t>
        </is>
      </c>
      <c r="D64" s="109">
        <f t="array" ref="D64:D64">IFERROR(INDEX(GroupLookup,MATCH(C64,CategoryList,0)),"")</f>
        <v/>
      </c>
      <c r="E64" s="116" t="n">
        <v>1350</v>
      </c>
      <c r="F64" s="75" t="n"/>
      <c r="G64" s="75" t="n"/>
      <c r="I64" s="76" t="inlineStr">
        <is>
          <t>পরীক্ষার ফি</t>
        </is>
      </c>
      <c r="J64" s="112">
        <f>SUMIF($C$4:$C$203,$I64,$E$4:$E$203)</f>
        <v/>
      </c>
      <c r="K64" s="113">
        <f>IFERROR($J64/$J$12,0)</f>
        <v/>
      </c>
    </row>
    <row r="65" ht="15.75" customHeight="1" s="52">
      <c r="A65" s="125" t="n">
        <v>46249</v>
      </c>
      <c r="B65" s="75" t="n"/>
      <c r="C65" s="126" t="inlineStr">
        <is>
          <t>অন্যান্য খরচ</t>
        </is>
      </c>
      <c r="D65" s="109">
        <f t="array" ref="D65:D65">IFERROR(INDEX(GroupLookup,MATCH(C65,CategoryList,0)),"")</f>
        <v/>
      </c>
      <c r="E65" s="127" t="n">
        <v>390</v>
      </c>
      <c r="F65" s="76" t="n"/>
      <c r="G65" s="76" t="n"/>
      <c r="I65" s="75" t="inlineStr">
        <is>
          <t>পোশাক ও জুতা</t>
        </is>
      </c>
      <c r="J65" s="110">
        <f>SUMIF($C$4:$C$203,$I65,$E$4:$E$203)</f>
        <v/>
      </c>
      <c r="K65" s="111">
        <f>IFERROR($J65/$J$12,0)</f>
        <v/>
      </c>
    </row>
    <row r="66" ht="15.75" customHeight="1" s="52">
      <c r="A66" s="125" t="n">
        <v>46249</v>
      </c>
      <c r="B66" s="76" t="n"/>
      <c r="C66" s="115" t="inlineStr">
        <is>
          <t>মাংস</t>
        </is>
      </c>
      <c r="D66" s="109">
        <f t="array" ref="D66:D66">IFERROR(INDEX(GroupLookup,MATCH(C66,CategoryList,0)),"")</f>
        <v/>
      </c>
      <c r="E66" s="116" t="n">
        <v>600</v>
      </c>
      <c r="F66" s="75" t="n"/>
      <c r="G66" s="75" t="n"/>
      <c r="I66" s="76" t="inlineStr">
        <is>
          <t>প্রসাধনী ও পরিচর্যা</t>
        </is>
      </c>
      <c r="J66" s="112">
        <f>SUMIF($C$4:$C$203,$I66,$E$4:$E$203)</f>
        <v/>
      </c>
      <c r="K66" s="113">
        <f>IFERROR($J66/$J$12,0)</f>
        <v/>
      </c>
    </row>
    <row r="67" ht="15.75" customHeight="1" s="52">
      <c r="A67" s="125" t="n">
        <v>46249</v>
      </c>
      <c r="B67" s="75" t="n"/>
      <c r="C67" s="126" t="inlineStr">
        <is>
          <t>অন্যান্য খরচ</t>
        </is>
      </c>
      <c r="D67" s="109">
        <f t="array" ref="D67:D67">IFERROR(INDEX(GroupLookup,MATCH(C67,CategoryList,0)),"")</f>
        <v/>
      </c>
      <c r="E67" s="127" t="n">
        <v>30</v>
      </c>
      <c r="F67" s="76" t="n"/>
      <c r="G67" s="76" t="n"/>
      <c r="I67" s="75" t="inlineStr">
        <is>
          <t>সাবান ও ডিটারজেন্ট</t>
        </is>
      </c>
      <c r="J67" s="110">
        <f>SUMIF($C$4:$C$203,$I67,$E$4:$E$203)</f>
        <v/>
      </c>
      <c r="K67" s="111">
        <f>IFERROR($J67/$J$12,0)</f>
        <v/>
      </c>
    </row>
    <row r="68" ht="15.75" customHeight="1" s="52">
      <c r="A68" s="125" t="n">
        <v>46249</v>
      </c>
      <c r="B68" s="75" t="n"/>
      <c r="C68" s="126" t="inlineStr">
        <is>
          <t>রিকশা / সিএনজি</t>
        </is>
      </c>
      <c r="D68" s="109">
        <f t="array" ref="D68:D68">IFERROR(INDEX(GroupLookup,MATCH(C68,CategoryList,0)),"")</f>
        <v/>
      </c>
      <c r="E68" s="127" t="n">
        <v>25</v>
      </c>
      <c r="F68" s="75" t="n"/>
      <c r="G68" s="75" t="n"/>
      <c r="I68" s="76" t="inlineStr">
        <is>
          <t>গৃহস্থালি সামগ্রী</t>
        </is>
      </c>
      <c r="J68" s="112">
        <f>SUMIF($C$4:$C$203,$I68,$E$4:$E$203)</f>
        <v/>
      </c>
      <c r="K68" s="113">
        <f>IFERROR($J68/$J$12,0)</f>
        <v/>
      </c>
    </row>
    <row r="69" ht="15.75" customHeight="1" s="52">
      <c r="A69" s="125" t="n">
        <v>46250</v>
      </c>
      <c r="B69" s="76" t="n"/>
      <c r="C69" s="115" t="inlineStr">
        <is>
          <t>নাশতা ও বেকারি</t>
        </is>
      </c>
      <c r="D69" s="109">
        <f t="array" ref="D69:D69">IFERROR(INDEX(GroupLookup,MATCH(C69,CategoryList,0)),"")</f>
        <v/>
      </c>
      <c r="E69" s="116" t="n">
        <v>570</v>
      </c>
      <c r="F69" s="76" t="n"/>
      <c r="G69" s="76" t="n"/>
      <c r="I69" s="75" t="inlineStr">
        <is>
          <t>সেলুন / পার্লার</t>
        </is>
      </c>
      <c r="J69" s="110">
        <f>SUMIF($C$4:$C$203,$I69,$E$4:$E$203)</f>
        <v/>
      </c>
      <c r="K69" s="111">
        <f>IFERROR($J69/$J$12,0)</f>
        <v/>
      </c>
    </row>
    <row r="70" ht="15.75" customHeight="1" s="52">
      <c r="A70" s="125" t="n">
        <v>46251</v>
      </c>
      <c r="B70" s="75" t="n"/>
      <c r="C70" s="126" t="inlineStr">
        <is>
          <t>ইন্টারনেট বিল</t>
        </is>
      </c>
      <c r="D70" s="109">
        <f t="array" ref="D70:D70">IFERROR(INDEX(GroupLookup,MATCH(C70,CategoryList,0)),"")</f>
        <v/>
      </c>
      <c r="E70" s="127" t="n">
        <v>683</v>
      </c>
      <c r="F70" s="75" t="n"/>
      <c r="G70" s="75" t="n"/>
      <c r="I70" s="76" t="inlineStr">
        <is>
          <t>বিনোদন ও ঘোরাঘুরি</t>
        </is>
      </c>
      <c r="J70" s="112">
        <f>SUMIF($C$4:$C$203,$I70,$E$4:$E$203)</f>
        <v/>
      </c>
      <c r="K70" s="113">
        <f>IFERROR($J70/$J$12,0)</f>
        <v/>
      </c>
    </row>
    <row r="71" ht="15.75" customHeight="1" s="52">
      <c r="A71" s="125" t="n">
        <v>46251</v>
      </c>
      <c r="B71" s="76" t="n"/>
      <c r="C71" s="115" t="inlineStr">
        <is>
          <t>ফলমূল</t>
        </is>
      </c>
      <c r="D71" s="109">
        <f t="array" ref="D71:D71">IFERROR(INDEX(GroupLookup,MATCH(C71,CategoryList,0)),"")</f>
        <v/>
      </c>
      <c r="E71" s="116" t="n">
        <v>70</v>
      </c>
      <c r="F71" s="76" t="n"/>
      <c r="G71" s="76" t="n"/>
      <c r="I71" s="75" t="inlineStr">
        <is>
          <t>উপহার ও অনুষ্ঠান</t>
        </is>
      </c>
      <c r="J71" s="110">
        <f>SUMIF($C$4:$C$203,$I71,$E$4:$E$203)</f>
        <v/>
      </c>
      <c r="K71" s="111">
        <f>IFERROR($J71/$J$12,0)</f>
        <v/>
      </c>
    </row>
    <row r="72" ht="15.75" customHeight="1" s="52">
      <c r="A72" s="125" t="n">
        <v>46252</v>
      </c>
      <c r="B72" s="75" t="n"/>
      <c r="C72" s="126" t="inlineStr">
        <is>
          <t>ডিম</t>
        </is>
      </c>
      <c r="D72" s="109">
        <f t="array" ref="D72:D72">IFERROR(INDEX(GroupLookup,MATCH(C72,CategoryList,0)),"")</f>
        <v/>
      </c>
      <c r="E72" s="127" t="n">
        <v>220</v>
      </c>
      <c r="F72" s="75" t="n"/>
      <c r="G72" s="75" t="n"/>
      <c r="I72" s="76" t="inlineStr">
        <is>
          <t>দান ও যাকাত</t>
        </is>
      </c>
      <c r="J72" s="112">
        <f>SUMIF($C$4:$C$203,$I72,$E$4:$E$203)</f>
        <v/>
      </c>
      <c r="K72" s="113">
        <f>IFERROR($J72/$J$12,0)</f>
        <v/>
      </c>
    </row>
    <row r="73" ht="15.75" customHeight="1" s="52">
      <c r="A73" s="125" t="n">
        <v>46253</v>
      </c>
      <c r="B73" s="76" t="n"/>
      <c r="C73" s="115" t="inlineStr">
        <is>
          <t>মাছ</t>
        </is>
      </c>
      <c r="D73" s="109">
        <f t="array" ref="D73:D73">IFERROR(INDEX(GroupLookup,MATCH(C73,CategoryList,0)),"")</f>
        <v/>
      </c>
      <c r="E73" s="116" t="n">
        <v>600</v>
      </c>
      <c r="F73" s="76" t="n"/>
      <c r="G73" s="76" t="n"/>
      <c r="I73" s="75" t="inlineStr">
        <is>
          <t>সঞ্চয় ও বিনিয়োগ</t>
        </is>
      </c>
      <c r="J73" s="110">
        <f>SUMIF($C$4:$C$203,$I73,$E$4:$E$203)</f>
        <v/>
      </c>
      <c r="K73" s="111">
        <f>IFERROR($J73/$J$12,0)</f>
        <v/>
      </c>
    </row>
    <row r="74" ht="15.75" customHeight="1" s="52">
      <c r="A74" s="125" t="n">
        <v>46253</v>
      </c>
      <c r="B74" s="75" t="n"/>
      <c r="C74" s="126" t="inlineStr">
        <is>
          <t>শাক-সবজি</t>
        </is>
      </c>
      <c r="D74" s="109">
        <f t="array" ref="D74:D74">IFERROR(INDEX(GroupLookup,MATCH(C74,CategoryList,0)),"")</f>
        <v/>
      </c>
      <c r="E74" s="127" t="n">
        <v>310</v>
      </c>
      <c r="F74" s="75" t="n"/>
      <c r="G74" s="75" t="n"/>
      <c r="I74" s="76" t="inlineStr">
        <is>
          <t>ঋণ পরিশোধ / কিস্তি</t>
        </is>
      </c>
      <c r="J74" s="112">
        <f>SUMIF($C$4:$C$203,$I74,$E$4:$E$203)</f>
        <v/>
      </c>
      <c r="K74" s="113">
        <f>IFERROR($J74/$J$12,0)</f>
        <v/>
      </c>
    </row>
    <row r="75" ht="15.75" customHeight="1" s="52">
      <c r="A75" s="125" t="n">
        <v>46253</v>
      </c>
      <c r="B75" s="76" t="n"/>
      <c r="C75" s="115" t="inlineStr">
        <is>
          <t>ফলমূল</t>
        </is>
      </c>
      <c r="D75" s="109">
        <f t="array" ref="D75:D75">IFERROR(INDEX(GroupLookup,MATCH(C75,CategoryList,0)),"")</f>
        <v/>
      </c>
      <c r="E75" s="116" t="n">
        <v>60</v>
      </c>
      <c r="F75" s="76" t="n"/>
      <c r="G75" s="76" t="n"/>
      <c r="I75" s="75" t="inlineStr">
        <is>
          <t>বীমা প্রিমিয়াম</t>
        </is>
      </c>
      <c r="J75" s="110">
        <f>SUMIF($C$4:$C$203,$I75,$E$4:$E$203)</f>
        <v/>
      </c>
      <c r="K75" s="111">
        <f>IFERROR($J75/$J$12,0)</f>
        <v/>
      </c>
    </row>
    <row r="76" ht="15.75" customHeight="1" s="52">
      <c r="A76" s="125" t="n">
        <v>46253</v>
      </c>
      <c r="B76" s="75" t="n"/>
      <c r="C76" s="126" t="inlineStr">
        <is>
          <t>নাশতা ও বেকারি</t>
        </is>
      </c>
      <c r="D76" s="109">
        <f t="array" ref="D76:D76">IFERROR(INDEX(GroupLookup,MATCH(C76,CategoryList,0)),"")</f>
        <v/>
      </c>
      <c r="E76" s="127" t="n">
        <v>20</v>
      </c>
      <c r="F76" s="75" t="n"/>
      <c r="G76" s="75" t="n"/>
      <c r="I76" s="76" t="inlineStr">
        <is>
          <t>অন্যান্য খরচ</t>
        </is>
      </c>
      <c r="J76" s="112">
        <f>SUMIF($C$4:$C$203,$I76,$E$4:$E$203)</f>
        <v/>
      </c>
      <c r="K76" s="113">
        <f>IFERROR($J76/$J$12,0)</f>
        <v/>
      </c>
    </row>
    <row r="77" ht="15.75" customHeight="1" s="52">
      <c r="A77" s="125" t="n">
        <v>46253</v>
      </c>
      <c r="B77" s="76" t="n"/>
      <c r="C77" s="115" t="inlineStr">
        <is>
          <t>সঞ্চয় ও বিনিয়োগ</t>
        </is>
      </c>
      <c r="D77" s="109">
        <f t="array" ref="D77:D77">IFERROR(INDEX(GroupLookup,MATCH(C77,CategoryList,0)),"")</f>
        <v/>
      </c>
      <c r="E77" s="116" t="n">
        <v>500</v>
      </c>
      <c r="F77" s="76" t="n"/>
      <c r="G77" s="76" t="n"/>
      <c r="I77" s="72" t="inlineStr">
        <is>
          <t>সর্বমোট</t>
        </is>
      </c>
      <c r="J77" s="117">
        <f>SUM($J$23:$J$76)</f>
        <v/>
      </c>
      <c r="K77" s="118">
        <f>IFERROR($J$77/$J$12,0)</f>
        <v/>
      </c>
    </row>
    <row r="78" ht="15.75" customHeight="1" s="52">
      <c r="A78" s="125" t="n">
        <v>46251</v>
      </c>
      <c r="B78" s="75" t="n"/>
      <c r="C78" s="126" t="inlineStr">
        <is>
          <t>বিদ্যুৎ বিল</t>
        </is>
      </c>
      <c r="D78" s="109">
        <f t="array" ref="D78:D78">IFERROR(INDEX(GroupLookup,MATCH(C78,CategoryList,0)),"")</f>
        <v/>
      </c>
      <c r="E78" s="127" t="n">
        <v>2100</v>
      </c>
      <c r="F78" s="75" t="n"/>
      <c r="G78" s="75" t="n"/>
    </row>
    <row r="79" ht="15.75" customHeight="1" s="52">
      <c r="A79" s="125" t="n">
        <v>46254</v>
      </c>
      <c r="B79" s="76" t="n"/>
      <c r="C79" s="115" t="inlineStr">
        <is>
          <t>রিকশা / সিএনজি</t>
        </is>
      </c>
      <c r="D79" s="109">
        <f t="array" ref="D79:D79">IFERROR(INDEX(GroupLookup,MATCH(C79,CategoryList,0)),"")</f>
        <v/>
      </c>
      <c r="E79" s="116" t="n">
        <v>30</v>
      </c>
      <c r="F79" s="76" t="n"/>
      <c r="G79" s="76" t="n"/>
    </row>
    <row r="80" ht="15.75" customHeight="1" s="52">
      <c r="A80" s="125" t="n">
        <v>46256</v>
      </c>
      <c r="B80" s="75" t="n"/>
      <c r="C80" s="126" t="inlineStr">
        <is>
          <t>মাছ</t>
        </is>
      </c>
      <c r="D80" s="109">
        <f t="array" ref="D80:D80">IFERROR(INDEX(GroupLookup,MATCH(C80,CategoryList,0)),"")</f>
        <v/>
      </c>
      <c r="E80" s="127" t="n">
        <v>650</v>
      </c>
      <c r="F80" s="75" t="n"/>
      <c r="G80" s="75" t="n"/>
    </row>
    <row r="81" ht="15.75" customHeight="1" s="52">
      <c r="A81" s="125" t="n">
        <v>46256</v>
      </c>
      <c r="B81" s="76" t="n"/>
      <c r="C81" s="115" t="inlineStr">
        <is>
          <t>ওষুধ</t>
        </is>
      </c>
      <c r="D81" s="109">
        <f t="array" ref="D81:D81">IFERROR(INDEX(GroupLookup,MATCH(C81,CategoryList,0)),"")</f>
        <v/>
      </c>
      <c r="E81" s="116" t="n">
        <v>740</v>
      </c>
      <c r="F81" s="76" t="n"/>
      <c r="G81" s="76" t="n"/>
    </row>
    <row r="82" ht="15.75" customHeight="1" s="52">
      <c r="A82" s="125" t="n">
        <v>46256</v>
      </c>
      <c r="B82" s="75" t="n"/>
      <c r="C82" s="126" t="inlineStr">
        <is>
          <t>ভোজ্য তেল</t>
        </is>
      </c>
      <c r="D82" s="109">
        <f t="array" ref="D82:D82">IFERROR(INDEX(GroupLookup,MATCH(C82,CategoryList,0)),"")</f>
        <v/>
      </c>
      <c r="E82" s="127" t="n">
        <v>400</v>
      </c>
      <c r="F82" s="75" t="n"/>
      <c r="G82" s="75" t="n"/>
    </row>
    <row r="83" ht="15.75" customHeight="1" s="52">
      <c r="A83" s="125" t="n">
        <v>46256</v>
      </c>
      <c r="B83" s="76" t="n"/>
      <c r="C83" s="115" t="inlineStr">
        <is>
          <t>ফলমূল</t>
        </is>
      </c>
      <c r="D83" s="109">
        <f t="array" ref="D83:D83">IFERROR(INDEX(GroupLookup,MATCH(C83,CategoryList,0)),"")</f>
        <v/>
      </c>
      <c r="E83" s="116" t="n">
        <v>490</v>
      </c>
      <c r="F83" s="76" t="n"/>
      <c r="G83" s="76" t="n"/>
    </row>
    <row r="84" ht="15.75" customHeight="1" s="52">
      <c r="A84" s="125" t="n">
        <v>46256</v>
      </c>
      <c r="B84" s="75" t="n"/>
      <c r="C84" s="126" t="inlineStr">
        <is>
          <t>শাক-সবজি</t>
        </is>
      </c>
      <c r="D84" s="109">
        <f t="array" ref="D84:D84">IFERROR(INDEX(GroupLookup,MATCH(C84,CategoryList,0)),"")</f>
        <v/>
      </c>
      <c r="E84" s="127" t="n">
        <v>490</v>
      </c>
      <c r="F84" s="75" t="n"/>
      <c r="G84" s="75" t="n"/>
    </row>
    <row r="85" ht="15.75" customHeight="1" s="52">
      <c r="A85" s="125" t="n">
        <v>46256</v>
      </c>
      <c r="B85" s="76" t="n"/>
      <c r="C85" s="115" t="inlineStr">
        <is>
          <t>মাছ</t>
        </is>
      </c>
      <c r="D85" s="109">
        <f t="array" ref="D85:D85">IFERROR(INDEX(GroupLookup,MATCH(C85,CategoryList,0)),"")</f>
        <v/>
      </c>
      <c r="E85" s="116" t="n">
        <v>130</v>
      </c>
      <c r="F85" s="76" t="n"/>
      <c r="G85" s="76" t="n"/>
    </row>
    <row r="86" ht="15.75" customHeight="1" s="52">
      <c r="A86" s="125" t="n">
        <v>46256</v>
      </c>
      <c r="B86" s="75" t="n"/>
      <c r="C86" s="126" t="inlineStr">
        <is>
          <t>রিকশা / সিএনজি</t>
        </is>
      </c>
      <c r="D86" s="109">
        <f t="array" ref="D86:D86">IFERROR(INDEX(GroupLookup,MATCH(C86,CategoryList,0)),"")</f>
        <v/>
      </c>
      <c r="E86" s="127" t="n">
        <v>30</v>
      </c>
      <c r="F86" s="75" t="n"/>
      <c r="G86" s="75" t="n"/>
    </row>
    <row r="87" ht="15.75" customHeight="1" s="52">
      <c r="A87" s="125" t="n">
        <v>46256</v>
      </c>
      <c r="B87" s="76" t="n"/>
      <c r="C87" s="115" t="inlineStr">
        <is>
          <t>দান ও যাকাত</t>
        </is>
      </c>
      <c r="D87" s="109">
        <f t="array" ref="D87:D87">IFERROR(INDEX(GroupLookup,MATCH(C87,CategoryList,0)),"")</f>
        <v/>
      </c>
      <c r="E87" s="116" t="n">
        <v>520</v>
      </c>
      <c r="F87" s="76" t="n"/>
      <c r="G87" s="76" t="n"/>
    </row>
    <row r="88" ht="15.75" customHeight="1" s="52">
      <c r="A88" s="125" t="n">
        <v>46256</v>
      </c>
      <c r="B88" s="75" t="n"/>
      <c r="C88" s="126" t="inlineStr">
        <is>
          <t>নাশতা ও বেকারি</t>
        </is>
      </c>
      <c r="D88" s="109">
        <f t="array" ref="D88:D88">IFERROR(INDEX(GroupLookup,MATCH(C88,CategoryList,0)),"")</f>
        <v/>
      </c>
      <c r="E88" s="127" t="n">
        <v>590</v>
      </c>
      <c r="F88" s="75" t="n"/>
      <c r="G88" s="75" t="n"/>
    </row>
    <row r="89" ht="15.75" customHeight="1" s="52">
      <c r="A89" s="125" t="n">
        <v>46257</v>
      </c>
      <c r="B89" s="76" t="n"/>
      <c r="C89" s="115" t="inlineStr">
        <is>
          <t>ওষুধ</t>
        </is>
      </c>
      <c r="D89" s="109">
        <f t="array" ref="D89:D89">IFERROR(INDEX(GroupLookup,MATCH(C89,CategoryList,0)),"")</f>
        <v/>
      </c>
      <c r="E89" s="116" t="n">
        <v>120</v>
      </c>
      <c r="F89" s="76" t="n"/>
      <c r="G89" s="76" t="n"/>
    </row>
    <row r="90" ht="15.75" customHeight="1" s="52">
      <c r="A90" s="125" t="n">
        <v>46257</v>
      </c>
      <c r="B90" s="75" t="n"/>
      <c r="C90" s="126" t="inlineStr">
        <is>
          <t>নাশতা ও বেকারি</t>
        </is>
      </c>
      <c r="D90" s="109">
        <f t="array" ref="D90:D90">IFERROR(INDEX(GroupLookup,MATCH(C90,CategoryList,0)),"")</f>
        <v/>
      </c>
      <c r="E90" s="127" t="n">
        <v>80</v>
      </c>
      <c r="F90" s="75" t="n"/>
      <c r="G90" s="75" t="n"/>
    </row>
    <row r="91" ht="15.75" customHeight="1" s="52">
      <c r="A91" s="125" t="n">
        <v>46257</v>
      </c>
      <c r="B91" s="76" t="n"/>
      <c r="C91" s="115" t="inlineStr">
        <is>
          <t>রিকশা / সিএনজি</t>
        </is>
      </c>
      <c r="D91" s="109">
        <f t="array" ref="D91:D91">IFERROR(INDEX(GroupLookup,MATCH(C91,CategoryList,0)),"")</f>
        <v/>
      </c>
      <c r="E91" s="116" t="n">
        <v>30</v>
      </c>
      <c r="F91" s="76" t="n"/>
      <c r="G91" s="76" t="n"/>
    </row>
    <row r="92" ht="15.75" customHeight="1" s="52">
      <c r="A92" s="125" t="n">
        <v>46258</v>
      </c>
      <c r="B92" s="75" t="n"/>
      <c r="C92" s="126" t="inlineStr">
        <is>
          <t>চিকিৎসা পরীক্ষা</t>
        </is>
      </c>
      <c r="D92" s="109">
        <f t="array" ref="D92:D92">IFERROR(INDEX(GroupLookup,MATCH(C92,CategoryList,0)),"")</f>
        <v/>
      </c>
      <c r="E92" s="127" t="n">
        <v>1200</v>
      </c>
      <c r="F92" s="75" t="n"/>
      <c r="G92" s="75" t="n"/>
    </row>
    <row r="93" ht="15.75" customHeight="1" s="52">
      <c r="A93" s="125" t="n">
        <v>46258</v>
      </c>
      <c r="B93" s="76" t="n"/>
      <c r="C93" s="115" t="inlineStr">
        <is>
          <t>রিকশা / সিএনজি</t>
        </is>
      </c>
      <c r="D93" s="109">
        <f t="array" ref="D93:D93">IFERROR(INDEX(GroupLookup,MATCH(C93,CategoryList,0)),"")</f>
        <v/>
      </c>
      <c r="E93" s="116" t="n">
        <v>35</v>
      </c>
      <c r="F93" s="76" t="n"/>
      <c r="G93" s="76" t="n"/>
    </row>
    <row r="94" ht="15.75" customHeight="1" s="52">
      <c r="A94" s="125" t="n">
        <v>46258</v>
      </c>
      <c r="B94" s="75" t="n"/>
      <c r="C94" s="126" t="inlineStr">
        <is>
          <t>ফলমূল</t>
        </is>
      </c>
      <c r="D94" s="109">
        <f t="array" ref="D94:D94">IFERROR(INDEX(GroupLookup,MATCH(C94,CategoryList,0)),"")</f>
        <v/>
      </c>
      <c r="E94" s="127" t="n">
        <v>160</v>
      </c>
      <c r="F94" s="75" t="n"/>
      <c r="G94" s="75" t="n"/>
    </row>
    <row r="95" ht="15.75" customHeight="1" s="52">
      <c r="A95" s="125" t="n">
        <v>46259</v>
      </c>
      <c r="B95" s="76" t="n"/>
      <c r="C95" s="115" t="inlineStr">
        <is>
          <t>ডিম</t>
        </is>
      </c>
      <c r="D95" s="109">
        <f t="array" ref="D95:D95">IFERROR(INDEX(GroupLookup,MATCH(C95,CategoryList,0)),"")</f>
        <v/>
      </c>
      <c r="E95" s="116" t="n">
        <v>150</v>
      </c>
      <c r="F95" s="76" t="n"/>
      <c r="G95" s="76" t="n"/>
    </row>
    <row r="96" ht="15.75" customHeight="1" s="52">
      <c r="A96" s="125" t="n">
        <v>46260</v>
      </c>
      <c r="B96" s="75" t="n"/>
      <c r="C96" s="126" t="inlineStr">
        <is>
          <t>শাক-সবজি</t>
        </is>
      </c>
      <c r="D96" s="109">
        <f t="array" ref="D96:D96">IFERROR(INDEX(GroupLookup,MATCH(C96,CategoryList,0)),"")</f>
        <v/>
      </c>
      <c r="E96" s="127" t="n">
        <v>320</v>
      </c>
      <c r="F96" s="75" t="n"/>
      <c r="G96" s="75" t="n"/>
    </row>
    <row r="97" ht="15.75" customHeight="1" s="52">
      <c r="A97" s="125" t="n">
        <v>46260</v>
      </c>
      <c r="B97" s="76" t="n"/>
      <c r="C97" s="115" t="inlineStr">
        <is>
          <t>অন্যান্য খরচ</t>
        </is>
      </c>
      <c r="D97" s="109">
        <f t="array" ref="D97:D97">IFERROR(INDEX(GroupLookup,MATCH(C97,CategoryList,0)),"")</f>
        <v/>
      </c>
      <c r="E97" s="116" t="n">
        <v>780</v>
      </c>
      <c r="F97" s="76" t="n"/>
      <c r="G97" s="76" t="n"/>
    </row>
    <row r="98" ht="15.75" customHeight="1" s="52">
      <c r="A98" s="125" t="n">
        <v>46255</v>
      </c>
      <c r="B98" s="75" t="n"/>
      <c r="C98" s="126" t="inlineStr">
        <is>
          <t>উপহার ও অনুষ্ঠান</t>
        </is>
      </c>
      <c r="D98" s="109">
        <f t="array" ref="D98:D98">IFERROR(INDEX(GroupLookup,MATCH(C98,CategoryList,0)),"")</f>
        <v/>
      </c>
      <c r="E98" s="127" t="n">
        <v>1000</v>
      </c>
      <c r="F98" s="75" t="n"/>
      <c r="G98" s="75" t="n"/>
    </row>
    <row r="99" ht="15.75" customHeight="1" s="52">
      <c r="A99" s="125" t="n">
        <v>46260</v>
      </c>
      <c r="B99" s="76" t="n"/>
      <c r="C99" s="115" t="inlineStr">
        <is>
          <t>অন্যান্য খরচ</t>
        </is>
      </c>
      <c r="D99" s="109">
        <f t="array" ref="D99:D99">IFERROR(INDEX(GroupLookup,MATCH(C99,CategoryList,0)),"")</f>
        <v/>
      </c>
      <c r="E99" s="116" t="n">
        <v>1300</v>
      </c>
      <c r="F99" s="76" t="n"/>
      <c r="G99" s="76" t="n"/>
    </row>
    <row r="100" ht="15.75" customHeight="1" s="52">
      <c r="A100" s="125" t="n">
        <v>46261</v>
      </c>
      <c r="B100" s="75" t="n"/>
      <c r="C100" s="126" t="inlineStr">
        <is>
          <t>মাংস</t>
        </is>
      </c>
      <c r="D100" s="109">
        <f t="array" ref="D100:D100">IFERROR(INDEX(GroupLookup,MATCH(C100,CategoryList,0)),"")</f>
        <v/>
      </c>
      <c r="E100" s="127" t="n">
        <v>2000</v>
      </c>
      <c r="F100" s="75" t="n"/>
      <c r="G100" s="75" t="n"/>
    </row>
    <row r="101" ht="15.75" customHeight="1" s="52">
      <c r="A101" s="125" t="n">
        <v>46261</v>
      </c>
      <c r="B101" s="76" t="n"/>
      <c r="C101" s="115" t="inlineStr">
        <is>
          <t>শাক-সবজি</t>
        </is>
      </c>
      <c r="D101" s="109">
        <f t="array" ref="D101:D101">IFERROR(INDEX(GroupLookup,MATCH(C101,CategoryList,0)),"")</f>
        <v/>
      </c>
      <c r="E101" s="116" t="n">
        <v>90</v>
      </c>
      <c r="F101" s="76" t="n"/>
      <c r="G101" s="76" t="n"/>
    </row>
    <row r="102" ht="15.75" customHeight="1" s="52">
      <c r="A102" s="125" t="n">
        <v>46261</v>
      </c>
      <c r="B102" s="75" t="n"/>
      <c r="C102" s="126" t="inlineStr">
        <is>
          <t>দুধ ও দুগ্ধজাত পণ্য</t>
        </is>
      </c>
      <c r="D102" s="109">
        <f t="array" ref="D102:D102">IFERROR(INDEX(GroupLookup,MATCH(C102,CategoryList,0)),"")</f>
        <v/>
      </c>
      <c r="E102" s="127" t="n">
        <v>500</v>
      </c>
      <c r="F102" s="75" t="n"/>
      <c r="G102" s="75" t="n"/>
    </row>
    <row r="103" ht="15.75" customHeight="1" s="52">
      <c r="A103" s="125" t="n">
        <v>46261</v>
      </c>
      <c r="B103" s="76" t="n"/>
      <c r="C103" s="115" t="inlineStr">
        <is>
          <t>রিকশা / সিএনজি</t>
        </is>
      </c>
      <c r="D103" s="109">
        <f t="array" ref="D103:D103">IFERROR(INDEX(GroupLookup,MATCH(C103,CategoryList,0)),"")</f>
        <v/>
      </c>
      <c r="E103" s="116" t="n">
        <v>30</v>
      </c>
      <c r="F103" s="76" t="n"/>
      <c r="G103" s="76" t="n"/>
    </row>
    <row r="104" ht="15.75" customHeight="1" s="52">
      <c r="A104" s="125" t="n">
        <v>46262</v>
      </c>
      <c r="B104" s="75" t="n"/>
      <c r="C104" s="126" t="inlineStr">
        <is>
          <t>দান ও যাকাত</t>
        </is>
      </c>
      <c r="D104" s="109">
        <f t="array" ref="D104:D104">IFERROR(INDEX(GroupLookup,MATCH(C104,CategoryList,0)),"")</f>
        <v/>
      </c>
      <c r="E104" s="127" t="n">
        <v>20</v>
      </c>
      <c r="F104" s="75" t="n"/>
      <c r="G104" s="75" t="n"/>
    </row>
    <row r="105" ht="15.75" customHeight="1" s="52">
      <c r="A105" s="125" t="n">
        <v>46262</v>
      </c>
      <c r="B105" s="76" t="n"/>
      <c r="C105" s="115" t="inlineStr">
        <is>
          <t>রিকশা / সিএনজি</t>
        </is>
      </c>
      <c r="D105" s="109">
        <f t="array" ref="D105:D105">IFERROR(INDEX(GroupLookup,MATCH(C105,CategoryList,0)),"")</f>
        <v/>
      </c>
      <c r="E105" s="116" t="n">
        <v>30</v>
      </c>
      <c r="F105" s="76" t="n"/>
      <c r="G105" s="76" t="n"/>
    </row>
    <row r="106" ht="15.75" customHeight="1" s="52">
      <c r="A106" s="125" t="n">
        <v>46263</v>
      </c>
      <c r="B106" s="75" t="n"/>
      <c r="C106" s="126" t="inlineStr">
        <is>
          <t>ফলমূল</t>
        </is>
      </c>
      <c r="D106" s="109">
        <f t="array" ref="D106:D106">IFERROR(INDEX(GroupLookup,MATCH(C106,CategoryList,0)),"")</f>
        <v/>
      </c>
      <c r="E106" s="127" t="n">
        <v>410</v>
      </c>
      <c r="F106" s="75" t="n"/>
      <c r="G106" s="75" t="n"/>
    </row>
    <row r="107" ht="15.75" customHeight="1" s="52">
      <c r="A107" s="125" t="n">
        <v>46263</v>
      </c>
      <c r="B107" s="76" t="n"/>
      <c r="C107" s="115" t="inlineStr">
        <is>
          <t>ডিম</t>
        </is>
      </c>
      <c r="D107" s="109">
        <f t="array" ref="D107:D107">IFERROR(INDEX(GroupLookup,MATCH(C107,CategoryList,0)),"")</f>
        <v/>
      </c>
      <c r="E107" s="116" t="n">
        <v>150</v>
      </c>
      <c r="F107" s="76" t="n"/>
      <c r="G107" s="76" t="n"/>
    </row>
    <row r="108" ht="15.75" customHeight="1" s="52">
      <c r="A108" s="108" t="n"/>
      <c r="B108" s="75" t="n"/>
      <c r="C108" s="75" t="n"/>
      <c r="D108" s="109">
        <f t="array" ref="D108:D108">IFERROR(INDEX(GroupLookup,MATCH(C108,CategoryList,0)),"")</f>
        <v/>
      </c>
      <c r="E108" s="110" t="n"/>
      <c r="F108" s="75" t="n"/>
      <c r="G108" s="75" t="n"/>
    </row>
    <row r="109" ht="15.75" customHeight="1" s="52">
      <c r="A109" s="114" t="n"/>
      <c r="B109" s="76" t="n"/>
      <c r="C109" s="76" t="n"/>
      <c r="D109" s="109">
        <f t="array" ref="D109:D109">IFERROR(INDEX(GroupLookup,MATCH(C109,CategoryList,0)),"")</f>
        <v/>
      </c>
      <c r="E109" s="112" t="n"/>
      <c r="F109" s="76" t="n"/>
      <c r="G109" s="76" t="n"/>
    </row>
    <row r="110" ht="15.75" customHeight="1" s="52">
      <c r="A110" s="108" t="n"/>
      <c r="B110" s="75" t="n"/>
      <c r="C110" s="75" t="n"/>
      <c r="D110" s="109">
        <f t="array" ref="D110:D110">IFERROR(INDEX(GroupLookup,MATCH(C110,CategoryList,0)),"")</f>
        <v/>
      </c>
      <c r="E110" s="110" t="n"/>
      <c r="F110" s="75" t="n"/>
      <c r="G110" s="75" t="n"/>
    </row>
    <row r="111" ht="15.75" customHeight="1" s="52">
      <c r="A111" s="114" t="n"/>
      <c r="B111" s="76" t="n"/>
      <c r="C111" s="76" t="n"/>
      <c r="D111" s="109">
        <f t="array" ref="D111:D111">IFERROR(INDEX(GroupLookup,MATCH(C111,CategoryList,0)),"")</f>
        <v/>
      </c>
      <c r="E111" s="112" t="n"/>
      <c r="F111" s="76" t="n"/>
      <c r="G111" s="76" t="n"/>
    </row>
    <row r="112" ht="15.75" customHeight="1" s="52">
      <c r="A112" s="108" t="n"/>
      <c r="B112" s="75" t="n"/>
      <c r="C112" s="75" t="n"/>
      <c r="D112" s="109">
        <f t="array" ref="D112:D112">IFERROR(INDEX(GroupLookup,MATCH(C112,CategoryList,0)),"")</f>
        <v/>
      </c>
      <c r="E112" s="110" t="n"/>
      <c r="F112" s="75" t="n"/>
      <c r="G112" s="75" t="n"/>
    </row>
    <row r="113" ht="15.75" customHeight="1" s="52">
      <c r="A113" s="114" t="n"/>
      <c r="B113" s="76" t="n"/>
      <c r="C113" s="76" t="n"/>
      <c r="D113" s="109">
        <f t="array" ref="D113:D113">IFERROR(INDEX(GroupLookup,MATCH(C113,CategoryList,0)),"")</f>
        <v/>
      </c>
      <c r="E113" s="112" t="n"/>
      <c r="F113" s="76" t="n"/>
      <c r="G113" s="76" t="n"/>
    </row>
    <row r="114" ht="15.75" customHeight="1" s="52">
      <c r="A114" s="108" t="n"/>
      <c r="B114" s="75" t="n"/>
      <c r="C114" s="75" t="n"/>
      <c r="D114" s="109">
        <f t="array" ref="D114:D114">IFERROR(INDEX(GroupLookup,MATCH(C114,CategoryList,0)),"")</f>
        <v/>
      </c>
      <c r="E114" s="110" t="n"/>
      <c r="F114" s="75" t="n"/>
      <c r="G114" s="75" t="n"/>
    </row>
    <row r="115" ht="15.75" customHeight="1" s="52">
      <c r="A115" s="114" t="n"/>
      <c r="B115" s="76" t="n"/>
      <c r="C115" s="76" t="n"/>
      <c r="D115" s="109">
        <f t="array" ref="D115:D115">IFERROR(INDEX(GroupLookup,MATCH(C115,CategoryList,0)),"")</f>
        <v/>
      </c>
      <c r="E115" s="112" t="n"/>
      <c r="F115" s="76" t="n"/>
      <c r="G115" s="76" t="n"/>
    </row>
    <row r="116" ht="15.75" customHeight="1" s="52">
      <c r="A116" s="108" t="n"/>
      <c r="B116" s="75" t="n"/>
      <c r="C116" s="75" t="n"/>
      <c r="D116" s="109">
        <f t="array" ref="D116:D116">IFERROR(INDEX(GroupLookup,MATCH(C116,CategoryList,0)),"")</f>
        <v/>
      </c>
      <c r="E116" s="110" t="n"/>
      <c r="F116" s="75" t="n"/>
      <c r="G116" s="75" t="n"/>
    </row>
    <row r="117" ht="15.75" customHeight="1" s="52">
      <c r="A117" s="114" t="n"/>
      <c r="B117" s="76" t="n"/>
      <c r="C117" s="76" t="n"/>
      <c r="D117" s="109">
        <f t="array" ref="D117:D117">IFERROR(INDEX(GroupLookup,MATCH(C117,CategoryList,0)),"")</f>
        <v/>
      </c>
      <c r="E117" s="112" t="n"/>
      <c r="F117" s="76" t="n"/>
      <c r="G117" s="76" t="n"/>
    </row>
    <row r="118" ht="15.75" customHeight="1" s="52">
      <c r="A118" s="108" t="n"/>
      <c r="B118" s="75" t="n"/>
      <c r="C118" s="75" t="n"/>
      <c r="D118" s="109">
        <f t="array" ref="D118:D118">IFERROR(INDEX(GroupLookup,MATCH(C118,CategoryList,0)),"")</f>
        <v/>
      </c>
      <c r="E118" s="110" t="n"/>
      <c r="F118" s="75" t="n"/>
      <c r="G118" s="75" t="n"/>
    </row>
    <row r="119" ht="15.75" customHeight="1" s="52">
      <c r="A119" s="114" t="n"/>
      <c r="B119" s="76" t="n"/>
      <c r="C119" s="76" t="n"/>
      <c r="D119" s="109">
        <f t="array" ref="D119:D119">IFERROR(INDEX(GroupLookup,MATCH(C119,CategoryList,0)),"")</f>
        <v/>
      </c>
      <c r="E119" s="112" t="n"/>
      <c r="F119" s="76" t="n"/>
      <c r="G119" s="76" t="n"/>
    </row>
    <row r="120" ht="15.75" customHeight="1" s="52">
      <c r="A120" s="108" t="n"/>
      <c r="B120" s="75" t="n"/>
      <c r="C120" s="75" t="n"/>
      <c r="D120" s="109">
        <f t="array" ref="D120:D120">IFERROR(INDEX(GroupLookup,MATCH(C120,CategoryList,0)),"")</f>
        <v/>
      </c>
      <c r="E120" s="110" t="n"/>
      <c r="F120" s="75" t="n"/>
      <c r="G120" s="75" t="n"/>
    </row>
    <row r="121" ht="15.75" customHeight="1" s="52">
      <c r="A121" s="114" t="n"/>
      <c r="B121" s="76" t="n"/>
      <c r="C121" s="76" t="n"/>
      <c r="D121" s="109">
        <f t="array" ref="D121:D121">IFERROR(INDEX(GroupLookup,MATCH(C121,CategoryList,0)),"")</f>
        <v/>
      </c>
      <c r="E121" s="112" t="n"/>
      <c r="F121" s="76" t="n"/>
      <c r="G121" s="76" t="n"/>
    </row>
    <row r="122" ht="15.75" customHeight="1" s="52">
      <c r="A122" s="108" t="n"/>
      <c r="B122" s="75" t="n"/>
      <c r="C122" s="75" t="n"/>
      <c r="D122" s="109">
        <f t="array" ref="D122:D122">IFERROR(INDEX(GroupLookup,MATCH(C122,CategoryList,0)),"")</f>
        <v/>
      </c>
      <c r="E122" s="110" t="n"/>
      <c r="F122" s="75" t="n"/>
      <c r="G122" s="75" t="n"/>
    </row>
    <row r="123" ht="15.75" customHeight="1" s="52">
      <c r="A123" s="114" t="n"/>
      <c r="B123" s="76" t="n"/>
      <c r="C123" s="76" t="n"/>
      <c r="D123" s="109">
        <f t="array" ref="D123:D123">IFERROR(INDEX(GroupLookup,MATCH(C123,CategoryList,0)),"")</f>
        <v/>
      </c>
      <c r="E123" s="112" t="n"/>
      <c r="F123" s="76" t="n"/>
      <c r="G123" s="76" t="n"/>
    </row>
    <row r="124" ht="15.75" customHeight="1" s="52">
      <c r="A124" s="108" t="n"/>
      <c r="B124" s="75" t="n"/>
      <c r="C124" s="75" t="n"/>
      <c r="D124" s="109">
        <f t="array" ref="D124:D124">IFERROR(INDEX(GroupLookup,MATCH(C124,CategoryList,0)),"")</f>
        <v/>
      </c>
      <c r="E124" s="110" t="n"/>
      <c r="F124" s="75" t="n"/>
      <c r="G124" s="75" t="n"/>
    </row>
    <row r="125" ht="15.75" customHeight="1" s="52">
      <c r="A125" s="114" t="n"/>
      <c r="B125" s="76" t="n"/>
      <c r="C125" s="76" t="n"/>
      <c r="D125" s="109">
        <f t="array" ref="D125:D125">IFERROR(INDEX(GroupLookup,MATCH(C125,CategoryList,0)),"")</f>
        <v/>
      </c>
      <c r="E125" s="112" t="n"/>
      <c r="F125" s="76" t="n"/>
      <c r="G125" s="76" t="n"/>
    </row>
    <row r="126" ht="15.75" customHeight="1" s="52">
      <c r="A126" s="108" t="n"/>
      <c r="B126" s="75" t="n"/>
      <c r="C126" s="75" t="n"/>
      <c r="D126" s="109">
        <f t="array" ref="D126:D126">IFERROR(INDEX(GroupLookup,MATCH(C126,CategoryList,0)),"")</f>
        <v/>
      </c>
      <c r="E126" s="110" t="n"/>
      <c r="F126" s="75" t="n"/>
      <c r="G126" s="75" t="n"/>
    </row>
    <row r="127" ht="15.75" customHeight="1" s="52">
      <c r="A127" s="114" t="n"/>
      <c r="B127" s="76" t="n"/>
      <c r="C127" s="76" t="n"/>
      <c r="D127" s="109">
        <f t="array" ref="D127:D127">IFERROR(INDEX(GroupLookup,MATCH(C127,CategoryList,0)),"")</f>
        <v/>
      </c>
      <c r="E127" s="112" t="n"/>
      <c r="F127" s="76" t="n"/>
      <c r="G127" s="76" t="n"/>
    </row>
    <row r="128" ht="15.75" customHeight="1" s="52">
      <c r="A128" s="108" t="n"/>
      <c r="B128" s="75" t="n"/>
      <c r="C128" s="75" t="n"/>
      <c r="D128" s="109">
        <f t="array" ref="D128:D128">IFERROR(INDEX(GroupLookup,MATCH(C128,CategoryList,0)),"")</f>
        <v/>
      </c>
      <c r="E128" s="110" t="n"/>
      <c r="F128" s="75" t="n"/>
      <c r="G128" s="75" t="n"/>
    </row>
    <row r="129" ht="15.75" customHeight="1" s="52">
      <c r="A129" s="114" t="n"/>
      <c r="B129" s="76" t="n"/>
      <c r="C129" s="76" t="n"/>
      <c r="D129" s="109">
        <f t="array" ref="D129:D129">IFERROR(INDEX(GroupLookup,MATCH(C129,CategoryList,0)),"")</f>
        <v/>
      </c>
      <c r="E129" s="112" t="n"/>
      <c r="F129" s="76" t="n"/>
      <c r="G129" s="76" t="n"/>
    </row>
    <row r="130" ht="15.75" customHeight="1" s="52">
      <c r="A130" s="108" t="n"/>
      <c r="B130" s="75" t="n"/>
      <c r="C130" s="75" t="n"/>
      <c r="D130" s="109">
        <f t="array" ref="D130:D130">IFERROR(INDEX(GroupLookup,MATCH(C130,CategoryList,0)),"")</f>
        <v/>
      </c>
      <c r="E130" s="110" t="n"/>
      <c r="F130" s="75" t="n"/>
      <c r="G130" s="75" t="n"/>
    </row>
    <row r="131" ht="15.75" customHeight="1" s="52">
      <c r="A131" s="114" t="n"/>
      <c r="B131" s="76" t="n"/>
      <c r="C131" s="76" t="n"/>
      <c r="D131" s="109">
        <f t="array" ref="D131:D131">IFERROR(INDEX(GroupLookup,MATCH(C131,CategoryList,0)),"")</f>
        <v/>
      </c>
      <c r="E131" s="112" t="n"/>
      <c r="F131" s="76" t="n"/>
      <c r="G131" s="76" t="n"/>
    </row>
    <row r="132" ht="15.75" customHeight="1" s="52">
      <c r="A132" s="108" t="n"/>
      <c r="B132" s="75" t="n"/>
      <c r="C132" s="75" t="n"/>
      <c r="D132" s="109">
        <f t="array" ref="D132:D132">IFERROR(INDEX(GroupLookup,MATCH(C132,CategoryList,0)),"")</f>
        <v/>
      </c>
      <c r="E132" s="110" t="n"/>
      <c r="F132" s="75" t="n"/>
      <c r="G132" s="75" t="n"/>
    </row>
    <row r="133" ht="15.75" customHeight="1" s="52">
      <c r="A133" s="114" t="n"/>
      <c r="B133" s="76" t="n"/>
      <c r="C133" s="76" t="n"/>
      <c r="D133" s="109">
        <f t="array" ref="D133:D133">IFERROR(INDEX(GroupLookup,MATCH(C133,CategoryList,0)),"")</f>
        <v/>
      </c>
      <c r="E133" s="112" t="n"/>
      <c r="F133" s="76" t="n"/>
      <c r="G133" s="76" t="n"/>
    </row>
    <row r="134" ht="15.75" customHeight="1" s="52">
      <c r="A134" s="108" t="n"/>
      <c r="B134" s="75" t="n"/>
      <c r="C134" s="75" t="n"/>
      <c r="D134" s="109">
        <f t="array" ref="D134:D134">IFERROR(INDEX(GroupLookup,MATCH(C134,CategoryList,0)),"")</f>
        <v/>
      </c>
      <c r="E134" s="110" t="n"/>
      <c r="F134" s="75" t="n"/>
      <c r="G134" s="75" t="n"/>
    </row>
    <row r="135" ht="15.75" customHeight="1" s="52">
      <c r="A135" s="114" t="n"/>
      <c r="B135" s="76" t="n"/>
      <c r="C135" s="76" t="n"/>
      <c r="D135" s="109">
        <f t="array" ref="D135:D135">IFERROR(INDEX(GroupLookup,MATCH(C135,CategoryList,0)),"")</f>
        <v/>
      </c>
      <c r="E135" s="112" t="n"/>
      <c r="F135" s="76" t="n"/>
      <c r="G135" s="76" t="n"/>
    </row>
    <row r="136" ht="15.75" customHeight="1" s="52">
      <c r="A136" s="108" t="n"/>
      <c r="B136" s="75" t="n"/>
      <c r="C136" s="75" t="n"/>
      <c r="D136" s="109">
        <f t="array" ref="D136:D136">IFERROR(INDEX(GroupLookup,MATCH(C136,CategoryList,0)),"")</f>
        <v/>
      </c>
      <c r="E136" s="110" t="n"/>
      <c r="F136" s="75" t="n"/>
      <c r="G136" s="75" t="n"/>
    </row>
    <row r="137" ht="15.75" customHeight="1" s="52">
      <c r="A137" s="114" t="n"/>
      <c r="B137" s="76" t="n"/>
      <c r="C137" s="76" t="n"/>
      <c r="D137" s="109">
        <f t="array" ref="D137:D137">IFERROR(INDEX(GroupLookup,MATCH(C137,CategoryList,0)),"")</f>
        <v/>
      </c>
      <c r="E137" s="112" t="n"/>
      <c r="F137" s="76" t="n"/>
      <c r="G137" s="76" t="n"/>
    </row>
    <row r="138" ht="15.75" customHeight="1" s="52">
      <c r="A138" s="108" t="n"/>
      <c r="B138" s="75" t="n"/>
      <c r="C138" s="75" t="n"/>
      <c r="D138" s="109">
        <f t="array" ref="D138:D138">IFERROR(INDEX(GroupLookup,MATCH(C138,CategoryList,0)),"")</f>
        <v/>
      </c>
      <c r="E138" s="110" t="n"/>
      <c r="F138" s="75" t="n"/>
      <c r="G138" s="75" t="n"/>
    </row>
    <row r="139" ht="15.75" customHeight="1" s="52">
      <c r="A139" s="114" t="n"/>
      <c r="B139" s="76" t="n"/>
      <c r="C139" s="76" t="n"/>
      <c r="D139" s="109">
        <f t="array" ref="D139:D139">IFERROR(INDEX(GroupLookup,MATCH(C139,CategoryList,0)),"")</f>
        <v/>
      </c>
      <c r="E139" s="112" t="n"/>
      <c r="F139" s="76" t="n"/>
      <c r="G139" s="76" t="n"/>
    </row>
    <row r="140" ht="15.75" customHeight="1" s="52">
      <c r="A140" s="108" t="n"/>
      <c r="B140" s="75" t="n"/>
      <c r="C140" s="75" t="n"/>
      <c r="D140" s="109">
        <f t="array" ref="D140:D140">IFERROR(INDEX(GroupLookup,MATCH(C140,CategoryList,0)),"")</f>
        <v/>
      </c>
      <c r="E140" s="110" t="n"/>
      <c r="F140" s="75" t="n"/>
      <c r="G140" s="75" t="n"/>
    </row>
    <row r="141" ht="15.75" customHeight="1" s="52">
      <c r="A141" s="114" t="n"/>
      <c r="B141" s="76" t="n"/>
      <c r="C141" s="76" t="n"/>
      <c r="D141" s="109">
        <f t="array" ref="D141:D141">IFERROR(INDEX(GroupLookup,MATCH(C141,CategoryList,0)),"")</f>
        <v/>
      </c>
      <c r="E141" s="112" t="n"/>
      <c r="F141" s="76" t="n"/>
      <c r="G141" s="76" t="n"/>
    </row>
    <row r="142" ht="15.75" customHeight="1" s="52">
      <c r="A142" s="108" t="n"/>
      <c r="B142" s="75" t="n"/>
      <c r="C142" s="75" t="n"/>
      <c r="D142" s="109">
        <f t="array" ref="D142:D142">IFERROR(INDEX(GroupLookup,MATCH(C142,CategoryList,0)),"")</f>
        <v/>
      </c>
      <c r="E142" s="110" t="n"/>
      <c r="F142" s="75" t="n"/>
      <c r="G142" s="75" t="n"/>
    </row>
    <row r="143" ht="15.75" customHeight="1" s="52">
      <c r="A143" s="114" t="n"/>
      <c r="B143" s="76" t="n"/>
      <c r="C143" s="76" t="n"/>
      <c r="D143" s="109">
        <f t="array" ref="D143:D143">IFERROR(INDEX(GroupLookup,MATCH(C143,CategoryList,0)),"")</f>
        <v/>
      </c>
      <c r="E143" s="112" t="n"/>
      <c r="F143" s="76" t="n"/>
      <c r="G143" s="76" t="n"/>
    </row>
    <row r="144" ht="15.75" customHeight="1" s="52">
      <c r="A144" s="108" t="n"/>
      <c r="B144" s="75" t="n"/>
      <c r="C144" s="75" t="n"/>
      <c r="D144" s="109">
        <f t="array" ref="D144:D144">IFERROR(INDEX(GroupLookup,MATCH(C144,CategoryList,0)),"")</f>
        <v/>
      </c>
      <c r="E144" s="110" t="n"/>
      <c r="F144" s="75" t="n"/>
      <c r="G144" s="75" t="n"/>
    </row>
    <row r="145" ht="15.75" customHeight="1" s="52">
      <c r="A145" s="114" t="n"/>
      <c r="B145" s="76" t="n"/>
      <c r="C145" s="76" t="n"/>
      <c r="D145" s="109">
        <f t="array" ref="D145:D145">IFERROR(INDEX(GroupLookup,MATCH(C145,CategoryList,0)),"")</f>
        <v/>
      </c>
      <c r="E145" s="112" t="n"/>
      <c r="F145" s="76" t="n"/>
      <c r="G145" s="76" t="n"/>
    </row>
    <row r="146" ht="15.75" customHeight="1" s="52">
      <c r="A146" s="108" t="n"/>
      <c r="B146" s="75" t="n"/>
      <c r="C146" s="75" t="n"/>
      <c r="D146" s="109">
        <f t="array" ref="D146:D146">IFERROR(INDEX(GroupLookup,MATCH(C146,CategoryList,0)),"")</f>
        <v/>
      </c>
      <c r="E146" s="110" t="n"/>
      <c r="F146" s="75" t="n"/>
      <c r="G146" s="75" t="n"/>
    </row>
    <row r="147" ht="15.75" customHeight="1" s="52">
      <c r="A147" s="114" t="n"/>
      <c r="B147" s="76" t="n"/>
      <c r="C147" s="76" t="n"/>
      <c r="D147" s="109">
        <f t="array" ref="D147:D147">IFERROR(INDEX(GroupLookup,MATCH(C147,CategoryList,0)),"")</f>
        <v/>
      </c>
      <c r="E147" s="112" t="n"/>
      <c r="F147" s="76" t="n"/>
      <c r="G147" s="76" t="n"/>
    </row>
    <row r="148" ht="15.75" customHeight="1" s="52">
      <c r="A148" s="108" t="n"/>
      <c r="B148" s="75" t="n"/>
      <c r="C148" s="75" t="n"/>
      <c r="D148" s="109">
        <f t="array" ref="D148:D148">IFERROR(INDEX(GroupLookup,MATCH(C148,CategoryList,0)),"")</f>
        <v/>
      </c>
      <c r="E148" s="110" t="n"/>
      <c r="F148" s="75" t="n"/>
      <c r="G148" s="75" t="n"/>
    </row>
    <row r="149" ht="15.75" customHeight="1" s="52">
      <c r="A149" s="114" t="n"/>
      <c r="B149" s="76" t="n"/>
      <c r="C149" s="76" t="n"/>
      <c r="D149" s="109">
        <f t="array" ref="D149:D149">IFERROR(INDEX(GroupLookup,MATCH(C149,CategoryList,0)),"")</f>
        <v/>
      </c>
      <c r="E149" s="112" t="n"/>
      <c r="F149" s="76" t="n"/>
      <c r="G149" s="76" t="n"/>
    </row>
    <row r="150" ht="15.75" customHeight="1" s="52">
      <c r="A150" s="108" t="n"/>
      <c r="B150" s="75" t="n"/>
      <c r="C150" s="75" t="n"/>
      <c r="D150" s="109">
        <f t="array" ref="D150:D150">IFERROR(INDEX(GroupLookup,MATCH(C150,CategoryList,0)),"")</f>
        <v/>
      </c>
      <c r="E150" s="110" t="n"/>
      <c r="F150" s="75" t="n"/>
      <c r="G150" s="75" t="n"/>
    </row>
    <row r="151" ht="15.75" customHeight="1" s="52">
      <c r="A151" s="114" t="n"/>
      <c r="B151" s="76" t="n"/>
      <c r="C151" s="76" t="n"/>
      <c r="D151" s="109">
        <f t="array" ref="D151:D151">IFERROR(INDEX(GroupLookup,MATCH(C151,CategoryList,0)),"")</f>
        <v/>
      </c>
      <c r="E151" s="112" t="n"/>
      <c r="F151" s="76" t="n"/>
      <c r="G151" s="76" t="n"/>
    </row>
    <row r="152" ht="15.75" customHeight="1" s="52">
      <c r="A152" s="108" t="n"/>
      <c r="B152" s="75" t="n"/>
      <c r="C152" s="75" t="n"/>
      <c r="D152" s="109">
        <f t="array" ref="D152:D152">IFERROR(INDEX(GroupLookup,MATCH(C152,CategoryList,0)),"")</f>
        <v/>
      </c>
      <c r="E152" s="110" t="n"/>
      <c r="F152" s="75" t="n"/>
      <c r="G152" s="75" t="n"/>
    </row>
    <row r="153" ht="15.75" customHeight="1" s="52">
      <c r="A153" s="114" t="n"/>
      <c r="B153" s="76" t="n"/>
      <c r="C153" s="76" t="n"/>
      <c r="D153" s="109">
        <f t="array" ref="D153:D153">IFERROR(INDEX(GroupLookup,MATCH(C153,CategoryList,0)),"")</f>
        <v/>
      </c>
      <c r="E153" s="112" t="n"/>
      <c r="F153" s="76" t="n"/>
      <c r="G153" s="76" t="n"/>
    </row>
    <row r="154" ht="15.75" customHeight="1" s="52">
      <c r="A154" s="108" t="n"/>
      <c r="B154" s="75" t="n"/>
      <c r="C154" s="75" t="n"/>
      <c r="D154" s="109">
        <f t="array" ref="D154:D154">IFERROR(INDEX(GroupLookup,MATCH(C154,CategoryList,0)),"")</f>
        <v/>
      </c>
      <c r="E154" s="110" t="n"/>
      <c r="F154" s="75" t="n"/>
      <c r="G154" s="75" t="n"/>
    </row>
    <row r="155" ht="15.75" customHeight="1" s="52">
      <c r="A155" s="114" t="n"/>
      <c r="B155" s="76" t="n"/>
      <c r="C155" s="76" t="n"/>
      <c r="D155" s="109">
        <f t="array" ref="D155:D155">IFERROR(INDEX(GroupLookup,MATCH(C155,CategoryList,0)),"")</f>
        <v/>
      </c>
      <c r="E155" s="112" t="n"/>
      <c r="F155" s="76" t="n"/>
      <c r="G155" s="76" t="n"/>
    </row>
    <row r="156" ht="15.75" customHeight="1" s="52">
      <c r="A156" s="108" t="n"/>
      <c r="B156" s="75" t="n"/>
      <c r="C156" s="75" t="n"/>
      <c r="D156" s="109">
        <f t="array" ref="D156:D156">IFERROR(INDEX(GroupLookup,MATCH(C156,CategoryList,0)),"")</f>
        <v/>
      </c>
      <c r="E156" s="110" t="n"/>
      <c r="F156" s="75" t="n"/>
      <c r="G156" s="75" t="n"/>
    </row>
    <row r="157" ht="15.75" customHeight="1" s="52">
      <c r="A157" s="114" t="n"/>
      <c r="B157" s="76" t="n"/>
      <c r="C157" s="76" t="n"/>
      <c r="D157" s="109">
        <f t="array" ref="D157:D157">IFERROR(INDEX(GroupLookup,MATCH(C157,CategoryList,0)),"")</f>
        <v/>
      </c>
      <c r="E157" s="112" t="n"/>
      <c r="F157" s="76" t="n"/>
      <c r="G157" s="76" t="n"/>
    </row>
    <row r="158" ht="15.75" customHeight="1" s="52">
      <c r="A158" s="108" t="n"/>
      <c r="B158" s="75" t="n"/>
      <c r="C158" s="75" t="n"/>
      <c r="D158" s="109">
        <f t="array" ref="D158:D158">IFERROR(INDEX(GroupLookup,MATCH(C158,CategoryList,0)),"")</f>
        <v/>
      </c>
      <c r="E158" s="110" t="n"/>
      <c r="F158" s="75" t="n"/>
      <c r="G158" s="75" t="n"/>
    </row>
    <row r="159" ht="15.75" customHeight="1" s="52">
      <c r="A159" s="114" t="n"/>
      <c r="B159" s="76" t="n"/>
      <c r="C159" s="76" t="n"/>
      <c r="D159" s="109">
        <f t="array" ref="D159:D159">IFERROR(INDEX(GroupLookup,MATCH(C159,CategoryList,0)),"")</f>
        <v/>
      </c>
      <c r="E159" s="112" t="n"/>
      <c r="F159" s="76" t="n"/>
      <c r="G159" s="76" t="n"/>
    </row>
    <row r="160" ht="15.75" customHeight="1" s="52">
      <c r="A160" s="108" t="n"/>
      <c r="B160" s="75" t="n"/>
      <c r="C160" s="75" t="n"/>
      <c r="D160" s="109">
        <f t="array" ref="D160:D160">IFERROR(INDEX(GroupLookup,MATCH(C160,CategoryList,0)),"")</f>
        <v/>
      </c>
      <c r="E160" s="110" t="n"/>
      <c r="F160" s="75" t="n"/>
      <c r="G160" s="75" t="n"/>
    </row>
    <row r="161" ht="15.75" customHeight="1" s="52">
      <c r="A161" s="114" t="n"/>
      <c r="B161" s="76" t="n"/>
      <c r="C161" s="76" t="n"/>
      <c r="D161" s="109">
        <f t="array" ref="D161:D161">IFERROR(INDEX(GroupLookup,MATCH(C161,CategoryList,0)),"")</f>
        <v/>
      </c>
      <c r="E161" s="112" t="n"/>
      <c r="F161" s="76" t="n"/>
      <c r="G161" s="76" t="n"/>
    </row>
    <row r="162" ht="15.75" customHeight="1" s="52">
      <c r="A162" s="108" t="n"/>
      <c r="B162" s="75" t="n"/>
      <c r="C162" s="75" t="n"/>
      <c r="D162" s="109">
        <f t="array" ref="D162:D162">IFERROR(INDEX(GroupLookup,MATCH(C162,CategoryList,0)),"")</f>
        <v/>
      </c>
      <c r="E162" s="110" t="n"/>
      <c r="F162" s="75" t="n"/>
      <c r="G162" s="75" t="n"/>
    </row>
    <row r="163" ht="15.75" customHeight="1" s="52">
      <c r="A163" s="114" t="n"/>
      <c r="B163" s="76" t="n"/>
      <c r="C163" s="76" t="n"/>
      <c r="D163" s="109">
        <f t="array" ref="D163:D163">IFERROR(INDEX(GroupLookup,MATCH(C163,CategoryList,0)),"")</f>
        <v/>
      </c>
      <c r="E163" s="112" t="n"/>
      <c r="F163" s="76" t="n"/>
      <c r="G163" s="76" t="n"/>
    </row>
    <row r="164" ht="15.75" customHeight="1" s="52">
      <c r="A164" s="108" t="n"/>
      <c r="B164" s="75" t="n"/>
      <c r="C164" s="75" t="n"/>
      <c r="D164" s="109">
        <f t="array" ref="D164:D164">IFERROR(INDEX(GroupLookup,MATCH(C164,CategoryList,0)),"")</f>
        <v/>
      </c>
      <c r="E164" s="110" t="n"/>
      <c r="F164" s="75" t="n"/>
      <c r="G164" s="75" t="n"/>
    </row>
    <row r="165" ht="15.75" customHeight="1" s="52">
      <c r="A165" s="114" t="n"/>
      <c r="B165" s="76" t="n"/>
      <c r="C165" s="76" t="n"/>
      <c r="D165" s="109">
        <f t="array" ref="D165:D165">IFERROR(INDEX(GroupLookup,MATCH(C165,CategoryList,0)),"")</f>
        <v/>
      </c>
      <c r="E165" s="112" t="n"/>
      <c r="F165" s="76" t="n"/>
      <c r="G165" s="76" t="n"/>
    </row>
    <row r="166" ht="15.75" customHeight="1" s="52">
      <c r="A166" s="108" t="n"/>
      <c r="B166" s="75" t="n"/>
      <c r="C166" s="75" t="n"/>
      <c r="D166" s="109">
        <f t="array" ref="D166:D166">IFERROR(INDEX(GroupLookup,MATCH(C166,CategoryList,0)),"")</f>
        <v/>
      </c>
      <c r="E166" s="110" t="n"/>
      <c r="F166" s="75" t="n"/>
      <c r="G166" s="75" t="n"/>
    </row>
    <row r="167" ht="15.75" customHeight="1" s="52">
      <c r="A167" s="114" t="n"/>
      <c r="B167" s="76" t="n"/>
      <c r="C167" s="76" t="n"/>
      <c r="D167" s="109">
        <f t="array" ref="D167:D167">IFERROR(INDEX(GroupLookup,MATCH(C167,CategoryList,0)),"")</f>
        <v/>
      </c>
      <c r="E167" s="112" t="n"/>
      <c r="F167" s="76" t="n"/>
      <c r="G167" s="76" t="n"/>
    </row>
    <row r="168" ht="15.75" customHeight="1" s="52">
      <c r="A168" s="108" t="n"/>
      <c r="B168" s="75" t="n"/>
      <c r="C168" s="75" t="n"/>
      <c r="D168" s="109">
        <f t="array" ref="D168:D168">IFERROR(INDEX(GroupLookup,MATCH(C168,CategoryList,0)),"")</f>
        <v/>
      </c>
      <c r="E168" s="110" t="n"/>
      <c r="F168" s="75" t="n"/>
      <c r="G168" s="75" t="n"/>
    </row>
    <row r="169" ht="15.75" customHeight="1" s="52">
      <c r="A169" s="114" t="n"/>
      <c r="B169" s="76" t="n"/>
      <c r="C169" s="76" t="n"/>
      <c r="D169" s="109">
        <f t="array" ref="D169:D169">IFERROR(INDEX(GroupLookup,MATCH(C169,CategoryList,0)),"")</f>
        <v/>
      </c>
      <c r="E169" s="112" t="n"/>
      <c r="F169" s="76" t="n"/>
      <c r="G169" s="76" t="n"/>
    </row>
    <row r="170" ht="15.75" customHeight="1" s="52">
      <c r="A170" s="108" t="n"/>
      <c r="B170" s="75" t="n"/>
      <c r="C170" s="75" t="n"/>
      <c r="D170" s="109">
        <f t="array" ref="D170:D170">IFERROR(INDEX(GroupLookup,MATCH(C170,CategoryList,0)),"")</f>
        <v/>
      </c>
      <c r="E170" s="110" t="n"/>
      <c r="F170" s="75" t="n"/>
      <c r="G170" s="75" t="n"/>
    </row>
    <row r="171" ht="15.75" customHeight="1" s="52">
      <c r="A171" s="114" t="n"/>
      <c r="B171" s="76" t="n"/>
      <c r="C171" s="76" t="n"/>
      <c r="D171" s="109">
        <f t="array" ref="D171:D171">IFERROR(INDEX(GroupLookup,MATCH(C171,CategoryList,0)),"")</f>
        <v/>
      </c>
      <c r="E171" s="112" t="n"/>
      <c r="F171" s="76" t="n"/>
      <c r="G171" s="76" t="n"/>
    </row>
    <row r="172" ht="15.75" customHeight="1" s="52">
      <c r="A172" s="108" t="n"/>
      <c r="B172" s="75" t="n"/>
      <c r="C172" s="75" t="n"/>
      <c r="D172" s="109">
        <f t="array" ref="D172:D172">IFERROR(INDEX(GroupLookup,MATCH(C172,CategoryList,0)),"")</f>
        <v/>
      </c>
      <c r="E172" s="110" t="n"/>
      <c r="F172" s="75" t="n"/>
      <c r="G172" s="75" t="n"/>
    </row>
    <row r="173" ht="15.75" customHeight="1" s="52">
      <c r="A173" s="114" t="n"/>
      <c r="B173" s="76" t="n"/>
      <c r="C173" s="76" t="n"/>
      <c r="D173" s="109">
        <f t="array" ref="D173:D173">IFERROR(INDEX(GroupLookup,MATCH(C173,CategoryList,0)),"")</f>
        <v/>
      </c>
      <c r="E173" s="112" t="n"/>
      <c r="F173" s="76" t="n"/>
      <c r="G173" s="76" t="n"/>
    </row>
    <row r="174" ht="15.75" customHeight="1" s="52">
      <c r="A174" s="108" t="n"/>
      <c r="B174" s="75" t="n"/>
      <c r="C174" s="75" t="n"/>
      <c r="D174" s="109">
        <f t="array" ref="D174:D174">IFERROR(INDEX(GroupLookup,MATCH(C174,CategoryList,0)),"")</f>
        <v/>
      </c>
      <c r="E174" s="110" t="n"/>
      <c r="F174" s="75" t="n"/>
      <c r="G174" s="75" t="n"/>
    </row>
    <row r="175" ht="15.75" customHeight="1" s="52">
      <c r="A175" s="114" t="n"/>
      <c r="B175" s="76" t="n"/>
      <c r="C175" s="76" t="n"/>
      <c r="D175" s="109">
        <f t="array" ref="D175:D175">IFERROR(INDEX(GroupLookup,MATCH(C175,CategoryList,0)),"")</f>
        <v/>
      </c>
      <c r="E175" s="112" t="n"/>
      <c r="F175" s="76" t="n"/>
      <c r="G175" s="76" t="n"/>
    </row>
    <row r="176" ht="15.75" customHeight="1" s="52">
      <c r="A176" s="108" t="n"/>
      <c r="B176" s="75" t="n"/>
      <c r="C176" s="75" t="n"/>
      <c r="D176" s="109">
        <f t="array" ref="D176:D176">IFERROR(INDEX(GroupLookup,MATCH(C176,CategoryList,0)),"")</f>
        <v/>
      </c>
      <c r="E176" s="110" t="n"/>
      <c r="F176" s="75" t="n"/>
      <c r="G176" s="75" t="n"/>
    </row>
    <row r="177" ht="15.75" customHeight="1" s="52">
      <c r="A177" s="114" t="n"/>
      <c r="B177" s="76" t="n"/>
      <c r="C177" s="76" t="n"/>
      <c r="D177" s="109">
        <f t="array" ref="D177:D177">IFERROR(INDEX(GroupLookup,MATCH(C177,CategoryList,0)),"")</f>
        <v/>
      </c>
      <c r="E177" s="112" t="n"/>
      <c r="F177" s="76" t="n"/>
      <c r="G177" s="76" t="n"/>
    </row>
    <row r="178" ht="15.75" customHeight="1" s="52">
      <c r="A178" s="108" t="n"/>
      <c r="B178" s="75" t="n"/>
      <c r="C178" s="75" t="n"/>
      <c r="D178" s="109">
        <f t="array" ref="D178:D178">IFERROR(INDEX(GroupLookup,MATCH(C178,CategoryList,0)),"")</f>
        <v/>
      </c>
      <c r="E178" s="110" t="n"/>
      <c r="F178" s="75" t="n"/>
      <c r="G178" s="75" t="n"/>
    </row>
    <row r="179" ht="15.75" customHeight="1" s="52">
      <c r="A179" s="114" t="n"/>
      <c r="B179" s="76" t="n"/>
      <c r="C179" s="76" t="n"/>
      <c r="D179" s="109">
        <f t="array" ref="D179:D179">IFERROR(INDEX(GroupLookup,MATCH(C179,CategoryList,0)),"")</f>
        <v/>
      </c>
      <c r="E179" s="112" t="n"/>
      <c r="F179" s="76" t="n"/>
      <c r="G179" s="76" t="n"/>
    </row>
    <row r="180" ht="15.75" customHeight="1" s="52">
      <c r="A180" s="108" t="n"/>
      <c r="B180" s="75" t="n"/>
      <c r="C180" s="75" t="n"/>
      <c r="D180" s="109">
        <f t="array" ref="D180:D180">IFERROR(INDEX(GroupLookup,MATCH(C180,CategoryList,0)),"")</f>
        <v/>
      </c>
      <c r="E180" s="110" t="n"/>
      <c r="F180" s="75" t="n"/>
      <c r="G180" s="75" t="n"/>
    </row>
    <row r="181" ht="15.75" customHeight="1" s="52">
      <c r="A181" s="114" t="n"/>
      <c r="B181" s="76" t="n"/>
      <c r="C181" s="76" t="n"/>
      <c r="D181" s="109">
        <f t="array" ref="D181:D181">IFERROR(INDEX(GroupLookup,MATCH(C181,CategoryList,0)),"")</f>
        <v/>
      </c>
      <c r="E181" s="112" t="n"/>
      <c r="F181" s="76" t="n"/>
      <c r="G181" s="76" t="n"/>
    </row>
    <row r="182" ht="15.75" customHeight="1" s="52">
      <c r="A182" s="108" t="n"/>
      <c r="B182" s="75" t="n"/>
      <c r="C182" s="75" t="n"/>
      <c r="D182" s="109">
        <f t="array" ref="D182:D182">IFERROR(INDEX(GroupLookup,MATCH(C182,CategoryList,0)),"")</f>
        <v/>
      </c>
      <c r="E182" s="110" t="n"/>
      <c r="F182" s="75" t="n"/>
      <c r="G182" s="75" t="n"/>
    </row>
    <row r="183" ht="15.75" customHeight="1" s="52">
      <c r="A183" s="114" t="n"/>
      <c r="B183" s="76" t="n"/>
      <c r="C183" s="76" t="n"/>
      <c r="D183" s="109">
        <f t="array" ref="D183:D183">IFERROR(INDEX(GroupLookup,MATCH(C183,CategoryList,0)),"")</f>
        <v/>
      </c>
      <c r="E183" s="112" t="n"/>
      <c r="F183" s="76" t="n"/>
      <c r="G183" s="76" t="n"/>
    </row>
    <row r="184" ht="15.75" customHeight="1" s="52">
      <c r="A184" s="108" t="n"/>
      <c r="B184" s="75" t="n"/>
      <c r="C184" s="75" t="n"/>
      <c r="D184" s="109">
        <f t="array" ref="D184:D184">IFERROR(INDEX(GroupLookup,MATCH(C184,CategoryList,0)),"")</f>
        <v/>
      </c>
      <c r="E184" s="110" t="n"/>
      <c r="F184" s="75" t="n"/>
      <c r="G184" s="75" t="n"/>
    </row>
    <row r="185" ht="15.75" customHeight="1" s="52">
      <c r="A185" s="114" t="n"/>
      <c r="B185" s="76" t="n"/>
      <c r="C185" s="76" t="n"/>
      <c r="D185" s="109">
        <f t="array" ref="D185:D185">IFERROR(INDEX(GroupLookup,MATCH(C185,CategoryList,0)),"")</f>
        <v/>
      </c>
      <c r="E185" s="112" t="n"/>
      <c r="F185" s="76" t="n"/>
      <c r="G185" s="76" t="n"/>
    </row>
    <row r="186" ht="15.75" customHeight="1" s="52">
      <c r="A186" s="108" t="n"/>
      <c r="B186" s="75" t="n"/>
      <c r="C186" s="75" t="n"/>
      <c r="D186" s="109">
        <f t="array" ref="D186:D186">IFERROR(INDEX(GroupLookup,MATCH(C186,CategoryList,0)),"")</f>
        <v/>
      </c>
      <c r="E186" s="110" t="n"/>
      <c r="F186" s="75" t="n"/>
      <c r="G186" s="75" t="n"/>
    </row>
    <row r="187" ht="15.75" customHeight="1" s="52">
      <c r="A187" s="114" t="n"/>
      <c r="B187" s="76" t="n"/>
      <c r="C187" s="76" t="n"/>
      <c r="D187" s="109">
        <f t="array" ref="D187:D187">IFERROR(INDEX(GroupLookup,MATCH(C187,CategoryList,0)),"")</f>
        <v/>
      </c>
      <c r="E187" s="112" t="n"/>
      <c r="F187" s="76" t="n"/>
      <c r="G187" s="76" t="n"/>
    </row>
    <row r="188" ht="15.75" customHeight="1" s="52">
      <c r="A188" s="108" t="n"/>
      <c r="B188" s="75" t="n"/>
      <c r="C188" s="75" t="n"/>
      <c r="D188" s="109">
        <f t="array" ref="D188:D188">IFERROR(INDEX(GroupLookup,MATCH(C188,CategoryList,0)),"")</f>
        <v/>
      </c>
      <c r="E188" s="110" t="n"/>
      <c r="F188" s="75" t="n"/>
      <c r="G188" s="75" t="n"/>
    </row>
    <row r="189" ht="15.75" customHeight="1" s="52">
      <c r="A189" s="114" t="n"/>
      <c r="B189" s="76" t="n"/>
      <c r="C189" s="76" t="n"/>
      <c r="D189" s="109">
        <f t="array" ref="D189:D189">IFERROR(INDEX(GroupLookup,MATCH(C189,CategoryList,0)),"")</f>
        <v/>
      </c>
      <c r="E189" s="112" t="n"/>
      <c r="F189" s="76" t="n"/>
      <c r="G189" s="76" t="n"/>
    </row>
    <row r="190" ht="15.75" customHeight="1" s="52">
      <c r="A190" s="108" t="n"/>
      <c r="B190" s="75" t="n"/>
      <c r="C190" s="75" t="n"/>
      <c r="D190" s="109">
        <f t="array" ref="D190:D190">IFERROR(INDEX(GroupLookup,MATCH(C190,CategoryList,0)),"")</f>
        <v/>
      </c>
      <c r="E190" s="110" t="n"/>
      <c r="F190" s="75" t="n"/>
      <c r="G190" s="75" t="n"/>
    </row>
    <row r="191" ht="15.75" customHeight="1" s="52">
      <c r="A191" s="114" t="n"/>
      <c r="B191" s="76" t="n"/>
      <c r="C191" s="76" t="n"/>
      <c r="D191" s="109">
        <f t="array" ref="D191:D191">IFERROR(INDEX(GroupLookup,MATCH(C191,CategoryList,0)),"")</f>
        <v/>
      </c>
      <c r="E191" s="112" t="n"/>
      <c r="F191" s="76" t="n"/>
      <c r="G191" s="76" t="n"/>
    </row>
    <row r="192" ht="15.75" customHeight="1" s="52">
      <c r="A192" s="108" t="n"/>
      <c r="B192" s="75" t="n"/>
      <c r="C192" s="75" t="n"/>
      <c r="D192" s="109">
        <f t="array" ref="D192:D192">IFERROR(INDEX(GroupLookup,MATCH(C192,CategoryList,0)),"")</f>
        <v/>
      </c>
      <c r="E192" s="110" t="n"/>
      <c r="F192" s="75" t="n"/>
      <c r="G192" s="75" t="n"/>
    </row>
    <row r="193" ht="15.75" customHeight="1" s="52">
      <c r="A193" s="114" t="n"/>
      <c r="B193" s="76" t="n"/>
      <c r="C193" s="76" t="n"/>
      <c r="D193" s="109">
        <f t="array" ref="D193:D193">IFERROR(INDEX(GroupLookup,MATCH(C193,CategoryList,0)),"")</f>
        <v/>
      </c>
      <c r="E193" s="112" t="n"/>
      <c r="F193" s="76" t="n"/>
      <c r="G193" s="76" t="n"/>
    </row>
    <row r="194" ht="15.75" customHeight="1" s="52">
      <c r="A194" s="108" t="n"/>
      <c r="B194" s="75" t="n"/>
      <c r="C194" s="75" t="n"/>
      <c r="D194" s="109">
        <f t="array" ref="D194:D194">IFERROR(INDEX(GroupLookup,MATCH(C194,CategoryList,0)),"")</f>
        <v/>
      </c>
      <c r="E194" s="110" t="n"/>
      <c r="F194" s="75" t="n"/>
      <c r="G194" s="75" t="n"/>
    </row>
    <row r="195" ht="15.75" customHeight="1" s="52">
      <c r="A195" s="114" t="n"/>
      <c r="B195" s="76" t="n"/>
      <c r="C195" s="76" t="n"/>
      <c r="D195" s="109">
        <f t="array" ref="D195:D195">IFERROR(INDEX(GroupLookup,MATCH(C195,CategoryList,0)),"")</f>
        <v/>
      </c>
      <c r="E195" s="112" t="n"/>
      <c r="F195" s="76" t="n"/>
      <c r="G195" s="76" t="n"/>
    </row>
    <row r="196" ht="15.75" customHeight="1" s="52">
      <c r="A196" s="108" t="n"/>
      <c r="B196" s="75" t="n"/>
      <c r="C196" s="75" t="n"/>
      <c r="D196" s="109">
        <f t="array" ref="D196:D196">IFERROR(INDEX(GroupLookup,MATCH(C196,CategoryList,0)),"")</f>
        <v/>
      </c>
      <c r="E196" s="110" t="n"/>
      <c r="F196" s="75" t="n"/>
      <c r="G196" s="75" t="n"/>
    </row>
    <row r="197" ht="15.75" customHeight="1" s="52">
      <c r="A197" s="114" t="n"/>
      <c r="B197" s="76" t="n"/>
      <c r="C197" s="76" t="n"/>
      <c r="D197" s="109">
        <f t="array" ref="D197:D197">IFERROR(INDEX(GroupLookup,MATCH(C197,CategoryList,0)),"")</f>
        <v/>
      </c>
      <c r="E197" s="112" t="n"/>
      <c r="F197" s="76" t="n"/>
      <c r="G197" s="76" t="n"/>
    </row>
    <row r="198" ht="15.75" customHeight="1" s="52">
      <c r="A198" s="108" t="n"/>
      <c r="B198" s="75" t="n"/>
      <c r="C198" s="75" t="n"/>
      <c r="D198" s="109">
        <f t="array" ref="D198:D198">IFERROR(INDEX(GroupLookup,MATCH(C198,CategoryList,0)),"")</f>
        <v/>
      </c>
      <c r="E198" s="110" t="n"/>
      <c r="F198" s="75" t="n"/>
      <c r="G198" s="75" t="n"/>
    </row>
    <row r="199" ht="15.75" customHeight="1" s="52">
      <c r="A199" s="114" t="n"/>
      <c r="B199" s="76" t="n"/>
      <c r="C199" s="76" t="n"/>
      <c r="D199" s="109">
        <f t="array" ref="D199:D199">IFERROR(INDEX(GroupLookup,MATCH(C199,CategoryList,0)),"")</f>
        <v/>
      </c>
      <c r="E199" s="112" t="n"/>
      <c r="F199" s="76" t="n"/>
      <c r="G199" s="76" t="n"/>
    </row>
    <row r="200" ht="15.75" customHeight="1" s="52">
      <c r="A200" s="108" t="n"/>
      <c r="B200" s="75" t="n"/>
      <c r="C200" s="75" t="n"/>
      <c r="D200" s="109">
        <f t="array" ref="D200:D200">IFERROR(INDEX(GroupLookup,MATCH(C200,CategoryList,0)),"")</f>
        <v/>
      </c>
      <c r="E200" s="110" t="n"/>
      <c r="F200" s="75" t="n"/>
      <c r="G200" s="75" t="n"/>
    </row>
    <row r="201" ht="15.75" customHeight="1" s="52">
      <c r="A201" s="114" t="n"/>
      <c r="B201" s="76" t="n"/>
      <c r="C201" s="76" t="n"/>
      <c r="D201" s="109">
        <f t="array" ref="D201:D201">IFERROR(INDEX(GroupLookup,MATCH(C201,CategoryList,0)),"")</f>
        <v/>
      </c>
      <c r="E201" s="112" t="n"/>
      <c r="F201" s="76" t="n"/>
      <c r="G201" s="76" t="n"/>
    </row>
    <row r="202" ht="15.75" customHeight="1" s="52">
      <c r="A202" s="108" t="n"/>
      <c r="B202" s="75" t="n"/>
      <c r="C202" s="75" t="n"/>
      <c r="D202" s="109">
        <f t="array" ref="D202:D202">IFERROR(INDEX(GroupLookup,MATCH(C202,CategoryList,0)),"")</f>
        <v/>
      </c>
      <c r="E202" s="110" t="n"/>
      <c r="F202" s="75" t="n"/>
      <c r="G202" s="75" t="n"/>
    </row>
    <row r="203" ht="15.75" customHeight="1" s="52">
      <c r="A203" s="114" t="n"/>
      <c r="B203" s="76" t="n"/>
      <c r="C203" s="76" t="n"/>
      <c r="D203" s="109">
        <f t="array" ref="D203:D203">IFERROR(INDEX(GroupLookup,MATCH(C203,CategoryList,0)),"")</f>
        <v/>
      </c>
      <c r="E203" s="112" t="n"/>
      <c r="F203" s="76" t="n"/>
      <c r="G203" s="76" t="n"/>
    </row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autoFilter ref="A3:G203"/>
  <mergeCells count="12">
    <mergeCell ref="A1:G1"/>
    <mergeCell ref="J20:K20"/>
    <mergeCell ref="I2:K2"/>
    <mergeCell ref="I14:K14"/>
    <mergeCell ref="J16:K16"/>
    <mergeCell ref="J15:K15"/>
    <mergeCell ref="I1:K1"/>
    <mergeCell ref="J18:K18"/>
    <mergeCell ref="J19:K19"/>
    <mergeCell ref="A2:G2"/>
    <mergeCell ref="I21:K21"/>
    <mergeCell ref="J17:K17"/>
  </mergeCells>
  <conditionalFormatting sqref="J13">
    <cfRule type="expression" rank="0" priority="2" equalAverage="0" aboveAverage="0" dxfId="0" text="" percent="0" bottom="0">
      <formula>$J$13&lt;&gt;0</formula>
    </cfRule>
  </conditionalFormatting>
  <conditionalFormatting sqref="A4:G203">
    <cfRule type="expression" rank="0" priority="3" equalAverage="0" aboveAverage="0" dxfId="7" text="" percent="0" bottom="0">
      <formula>AND($E4&gt;0,$D4="")</formula>
    </cfRule>
  </conditionalFormatting>
  <dataValidations count="4">
    <dataValidation sqref="E4:E203" showDropDown="0" showInputMessage="0" showErrorMessage="1" allowBlank="1" errorTitle="পরিমাণ ঋণাত্মক হতে পারে না" error="শুধু শূন্য বা তার বেশি সংখ্যা লিখুন। টাকার চিহ্ন নিজে থেকে বসবে।" type="decimal" errorStyle="stop" operator="greaterThanOrEqual">
      <formula1>0</formula1>
      <formula2>0</formula2>
    </dataValidation>
    <dataValidation sqref="C4:C203" showDropDown="0" showInputMessage="0" showErrorMessage="1" allowBlank="1" errorTitle="খাত তালিকায় নেই" error="ড্রপ-ডাউন থেকে একটি খাত বেছে নিন। তালিকার বাইরের খাত লিখলে ‘গ্রুপ’ কলাম খালি থাকবে এবং খরচটি গ্রুপভিত্তিক হিসাবে ধরা পড়বে না। নতুন খাত দরকার হলে ‘সেটিংস’ শিটে যোগ করুন।" type="list" errorStyle="stop" operator="between">
      <formula1>CategoryList</formula1>
      <formula2>0</formula2>
    </dataValidation>
    <dataValidation sqref="A4:A203" showDropDown="0" showInputMessage="0" showErrorMessage="1" allowBlank="1" errorTitle="তারিখ এই মাসের বাইরে" error="তারিখটি এই শিটের মাসের মধ্যে পড়ছে না। ভুল হলে ঠিক করুন, নয়তো ‘হ্যাঁ’ চেপে রেখে দিন।" type="date" errorStyle="warning" operator="between">
      <formula1>DATE(2026,8,1)</formula1>
      <formula2>DATE(2026,8,31)</formula2>
    </dataValidation>
    <dataValidation sqref="F4:F203" showDropDown="0" showInputMessage="0" showErrorMessage="1" allowBlank="1" errorTitle="পেমেন্ট মাধ্যম তালিকায় নেই" error="ড্রপ-ডাউন থেকে একটি পেমেন্ট মাধ্যম বেছে নিন।" type="list" errorStyle="stop" operator="between">
      <formula1>PaymentList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2E5C99"/>
    <outlinePr summaryBelow="1" summaryRight="1"/>
    <pageSetUpPr fitToPage="0"/>
  </sheetPr>
  <dimension ref="A1:K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3359375" defaultRowHeight="15" zeroHeight="0" outlineLevelRow="0"/>
  <cols>
    <col width="13" customWidth="1" style="51" min="1" max="1"/>
    <col width="34" customWidth="1" style="51" min="2" max="2"/>
    <col width="26" customWidth="1" style="51" min="3" max="3"/>
    <col width="24" customWidth="1" style="51" min="4" max="4"/>
    <col width="15" customWidth="1" style="51" min="5" max="5"/>
    <col width="20" customWidth="1" style="51" min="6" max="6"/>
    <col width="26" customWidth="1" style="51" min="7" max="7"/>
    <col width="3" customWidth="1" style="51" min="8" max="8"/>
    <col width="30" customWidth="1" style="51" min="9" max="9"/>
    <col width="17" customWidth="1" style="51" min="10" max="10"/>
    <col width="12" customWidth="1" style="51" min="11" max="11"/>
    <col width="8.710000000000001" customWidth="1" style="51" min="12" max="26"/>
  </cols>
  <sheetData>
    <row r="1" ht="25.5" customHeight="1" s="52">
      <c r="A1" s="104" t="inlineStr">
        <is>
          <t>দৈনিক খরচের হিসাব  —  সেপ্টেম্বর ২০২৬</t>
        </is>
      </c>
      <c r="I1" s="105" t="inlineStr">
        <is>
          <t>মাসিক সারসংক্ষেপ</t>
        </is>
      </c>
    </row>
    <row r="2" ht="15.75" customHeight="1" s="52">
      <c r="A2" s="59" t="inlineStr">
        <is>
          <t>শুধু  তারিখ · বিবরণ · খাত · পরিমাণ · পেমেন্ট মাধ্যম · মন্তব্য  ঘরগুলো পূরণ করুন। ‘গ্রুপ’ কলাম স্বয়ংক্রিয়ভাবে পূরণ হবে।</t>
        </is>
      </c>
      <c r="I2" s="106" t="n"/>
    </row>
    <row r="3" ht="21.75" customHeight="1" s="52">
      <c r="A3" s="107" t="inlineStr">
        <is>
          <t>তারিখ</t>
        </is>
      </c>
      <c r="B3" s="107" t="inlineStr">
        <is>
          <t>বিবরণ</t>
        </is>
      </c>
      <c r="C3" s="107" t="inlineStr">
        <is>
          <t>খাত</t>
        </is>
      </c>
      <c r="D3" s="107" t="inlineStr">
        <is>
          <t>গ্রুপ</t>
        </is>
      </c>
      <c r="E3" s="107" t="inlineStr">
        <is>
          <t>পরিমাণ (৳)</t>
        </is>
      </c>
      <c r="F3" s="107" t="inlineStr">
        <is>
          <t>পেমেন্ট মাধ্যম</t>
        </is>
      </c>
      <c r="G3" s="107" t="inlineStr">
        <is>
          <t>মন্তব্য</t>
        </is>
      </c>
      <c r="I3" s="100" t="inlineStr">
        <is>
          <t>গ্রুপ (প্রধান খাত)</t>
        </is>
      </c>
      <c r="J3" s="100" t="inlineStr">
        <is>
          <t>মোট (৳)</t>
        </is>
      </c>
      <c r="K3" s="100" t="inlineStr">
        <is>
          <t>শতাংশ</t>
        </is>
      </c>
    </row>
    <row r="4" ht="15" customHeight="1" s="52">
      <c r="A4" s="125" t="n">
        <v>46266</v>
      </c>
      <c r="B4" s="75" t="n"/>
      <c r="C4" s="126" t="inlineStr">
        <is>
          <t>চাল</t>
        </is>
      </c>
      <c r="D4" s="109">
        <f t="array" ref="D4:D4">IFERROR(INDEX(GroupLookup,MATCH(C4,CategoryList,0)),"")</f>
        <v/>
      </c>
      <c r="E4" s="127" t="n">
        <v>1450</v>
      </c>
      <c r="F4" s="75" t="n"/>
      <c r="G4" s="75" t="n"/>
      <c r="I4" s="75" t="inlineStr">
        <is>
          <t>খাদ্য ও মুদি</t>
        </is>
      </c>
      <c r="J4" s="110">
        <f>SUMIF($D$4:$D$203,$I4,$E$4:$E$203)</f>
        <v/>
      </c>
      <c r="K4" s="111">
        <f>IFERROR($J4/$J$12,0)</f>
        <v/>
      </c>
    </row>
    <row r="5" ht="15" customHeight="1" s="52">
      <c r="A5" s="125" t="n">
        <v>46266</v>
      </c>
      <c r="B5" s="76" t="n"/>
      <c r="C5" s="115" t="inlineStr">
        <is>
          <t>মাছ</t>
        </is>
      </c>
      <c r="D5" s="109">
        <f t="array" ref="D5:D5">IFERROR(INDEX(GroupLookup,MATCH(C5,CategoryList,0)),"")</f>
        <v/>
      </c>
      <c r="E5" s="116" t="n">
        <v>950</v>
      </c>
      <c r="F5" s="76" t="n"/>
      <c r="G5" s="76" t="n"/>
      <c r="I5" s="76" t="inlineStr">
        <is>
          <t>বাসস্থান</t>
        </is>
      </c>
      <c r="J5" s="112">
        <f>SUMIF($D$4:$D$203,$I5,$E$4:$E$203)</f>
        <v/>
      </c>
      <c r="K5" s="113">
        <f>IFERROR($J5/$J$12,0)</f>
        <v/>
      </c>
    </row>
    <row r="6" ht="15" customHeight="1" s="52">
      <c r="A6" s="125" t="n">
        <v>46266</v>
      </c>
      <c r="B6" s="75" t="inlineStr">
        <is>
          <t>পেঁপে  লতা শসা  কাকরোল  লাল শাক মিষ্টি কুমড়ার ফুল পটল ঢেঁড়শ  ধনেপাতা</t>
        </is>
      </c>
      <c r="C6" s="126" t="inlineStr">
        <is>
          <t>শাক-সবজি</t>
        </is>
      </c>
      <c r="D6" s="109">
        <f t="array" ref="D6:D6">IFERROR(INDEX(GroupLookup,MATCH(C6,CategoryList,0)),"")</f>
        <v/>
      </c>
      <c r="E6" s="127" t="n">
        <v>380</v>
      </c>
      <c r="F6" s="75" t="n"/>
      <c r="G6" s="75" t="n"/>
      <c r="I6" s="75" t="inlineStr">
        <is>
          <t>ইউটিলিটি বিল</t>
        </is>
      </c>
      <c r="J6" s="110">
        <f>SUMIF($D$4:$D$203,$I6,$E$4:$E$203)</f>
        <v/>
      </c>
      <c r="K6" s="111">
        <f>IFERROR($J6/$J$12,0)</f>
        <v/>
      </c>
    </row>
    <row r="7" ht="15" customHeight="1" s="52">
      <c r="A7" s="125" t="n">
        <v>46266</v>
      </c>
      <c r="B7" s="76" t="n"/>
      <c r="C7" s="115" t="inlineStr">
        <is>
          <t>ডাল</t>
        </is>
      </c>
      <c r="D7" s="109">
        <f t="array" ref="D7:D7">IFERROR(INDEX(GroupLookup,MATCH(C7,CategoryList,0)),"")</f>
        <v/>
      </c>
      <c r="E7" s="116" t="n">
        <v>100</v>
      </c>
      <c r="F7" s="76" t="n"/>
      <c r="G7" s="76" t="n"/>
      <c r="I7" s="76" t="inlineStr">
        <is>
          <t>যাতায়াত</t>
        </is>
      </c>
      <c r="J7" s="112">
        <f>SUMIF($D$4:$D$203,$I7,$E$4:$E$203)</f>
        <v/>
      </c>
      <c r="K7" s="113">
        <f>IFERROR($J7/$J$12,0)</f>
        <v/>
      </c>
    </row>
    <row r="8" ht="15" customHeight="1" s="52">
      <c r="A8" s="125" t="n">
        <v>46266</v>
      </c>
      <c r="B8" s="75" t="n"/>
      <c r="C8" s="126" t="inlineStr">
        <is>
          <t>মসলা</t>
        </is>
      </c>
      <c r="D8" s="109">
        <f t="array" ref="D8:D8">IFERROR(INDEX(GroupLookup,MATCH(C8,CategoryList,0)),"")</f>
        <v/>
      </c>
      <c r="E8" s="127" t="n">
        <v>210</v>
      </c>
      <c r="F8" s="75" t="n"/>
      <c r="G8" s="75" t="n"/>
      <c r="I8" s="75" t="inlineStr">
        <is>
          <t>স্বাস্থ্য</t>
        </is>
      </c>
      <c r="J8" s="110">
        <f>SUMIF($D$4:$D$203,$I8,$E$4:$E$203)</f>
        <v/>
      </c>
      <c r="K8" s="111">
        <f>IFERROR($J8/$J$12,0)</f>
        <v/>
      </c>
    </row>
    <row r="9" ht="15" customHeight="1" s="52">
      <c r="A9" s="125" t="n">
        <v>46266</v>
      </c>
      <c r="B9" s="76" t="n"/>
      <c r="C9" s="115" t="inlineStr">
        <is>
          <t>দুধ ও দুগ্ধজাত পণ্য</t>
        </is>
      </c>
      <c r="D9" s="109">
        <f t="array" ref="D9:D9">IFERROR(INDEX(GroupLookup,MATCH(C9,CategoryList,0)),"")</f>
        <v/>
      </c>
      <c r="E9" s="116" t="n">
        <v>205</v>
      </c>
      <c r="F9" s="76" t="n"/>
      <c r="G9" s="76" t="n"/>
      <c r="I9" s="76" t="inlineStr">
        <is>
          <t>শিক্ষা</t>
        </is>
      </c>
      <c r="J9" s="112">
        <f>SUMIF($D$4:$D$203,$I9,$E$4:$E$203)</f>
        <v/>
      </c>
      <c r="K9" s="113">
        <f>IFERROR($J9/$J$12,0)</f>
        <v/>
      </c>
    </row>
    <row r="10" ht="15" customHeight="1" s="52">
      <c r="A10" s="125" t="n">
        <v>46266</v>
      </c>
      <c r="B10" s="75" t="n"/>
      <c r="C10" s="126" t="inlineStr">
        <is>
          <t>সাবান ও ডিটারজেন্ট</t>
        </is>
      </c>
      <c r="D10" s="109">
        <f t="array" ref="D10:D10">IFERROR(INDEX(GroupLookup,MATCH(C10,CategoryList,0)),"")</f>
        <v/>
      </c>
      <c r="E10" s="127" t="n">
        <v>180</v>
      </c>
      <c r="F10" s="75" t="n"/>
      <c r="G10" s="75" t="n"/>
      <c r="I10" s="75" t="inlineStr">
        <is>
          <t>ব্যক্তিগত ও গৃহস্থালি</t>
        </is>
      </c>
      <c r="J10" s="110">
        <f>SUMIF($D$4:$D$203,$I10,$E$4:$E$203)</f>
        <v/>
      </c>
      <c r="K10" s="111">
        <f>IFERROR($J10/$J$12,0)</f>
        <v/>
      </c>
    </row>
    <row r="11" ht="15" customHeight="1" s="52">
      <c r="A11" s="125" t="n">
        <v>46266</v>
      </c>
      <c r="B11" s="76" t="n"/>
      <c r="C11" s="115" t="inlineStr">
        <is>
          <t>প্রসাধনী ও পরিচর্যা</t>
        </is>
      </c>
      <c r="D11" s="109">
        <f t="array" ref="D11:D11">IFERROR(INDEX(GroupLookup,MATCH(C11,CategoryList,0)),"")</f>
        <v/>
      </c>
      <c r="E11" s="116" t="n">
        <v>236</v>
      </c>
      <c r="F11" s="76" t="n"/>
      <c r="G11" s="76" t="n"/>
      <c r="I11" s="76" t="inlineStr">
        <is>
          <t>অন্যান্য</t>
        </is>
      </c>
      <c r="J11" s="112">
        <f>SUMIF($D$4:$D$203,$I11,$E$4:$E$203)</f>
        <v/>
      </c>
      <c r="K11" s="113">
        <f>IFERROR($J11/$J$12,0)</f>
        <v/>
      </c>
    </row>
    <row r="12" ht="15" customHeight="1" s="52">
      <c r="A12" s="125" t="n">
        <v>46266</v>
      </c>
      <c r="B12" s="75" t="n"/>
      <c r="C12" s="126" t="inlineStr">
        <is>
          <t>চিনি ও লবণ</t>
        </is>
      </c>
      <c r="D12" s="109">
        <f t="array" ref="D12:D12">IFERROR(INDEX(GroupLookup,MATCH(C12,CategoryList,0)),"")</f>
        <v/>
      </c>
      <c r="E12" s="127" t="n">
        <v>42</v>
      </c>
      <c r="F12" s="75" t="n"/>
      <c r="G12" s="75" t="n"/>
      <c r="I12" s="72" t="inlineStr">
        <is>
          <t>মোট মাসিক ব্যয়</t>
        </is>
      </c>
      <c r="J12" s="117">
        <f>SUM($E$4:$E$203)</f>
        <v/>
      </c>
      <c r="K12" s="118">
        <f>IFERROR($J$12/$J$12,0)</f>
        <v/>
      </c>
    </row>
    <row r="13" ht="15" customHeight="1" s="52">
      <c r="A13" s="125" t="n">
        <v>46266</v>
      </c>
      <c r="B13" s="76" t="n"/>
      <c r="C13" s="115" t="inlineStr">
        <is>
          <t>ডিম</t>
        </is>
      </c>
      <c r="D13" s="109">
        <f t="array" ref="D13:D13">IFERROR(INDEX(GroupLookup,MATCH(C13,CategoryList,0)),"")</f>
        <v/>
      </c>
      <c r="E13" s="116" t="n">
        <v>150</v>
      </c>
      <c r="F13" s="76" t="n"/>
      <c r="G13" s="76" t="n"/>
      <c r="I13" s="74" t="inlineStr">
        <is>
          <t>শ্রেণিবিন্যাসহীন (খাত তালিকায় নেই)</t>
        </is>
      </c>
      <c r="J13" s="117">
        <f>$J$12-SUM($J$4:$J$11)</f>
        <v/>
      </c>
      <c r="K13" s="118">
        <f>IFERROR($J13/$J$12,0)</f>
        <v/>
      </c>
    </row>
    <row r="14" ht="25.5" customHeight="1" s="52">
      <c r="A14" s="125" t="n">
        <v>46266</v>
      </c>
      <c r="B14" s="75" t="n"/>
      <c r="C14" s="126" t="inlineStr">
        <is>
          <t>নাশতা ও বেকারি</t>
        </is>
      </c>
      <c r="D14" s="109">
        <f t="array" ref="D14:D14">IFERROR(INDEX(GroupLookup,MATCH(C14,CategoryList,0)),"")</f>
        <v/>
      </c>
      <c r="E14" s="127" t="n">
        <v>270</v>
      </c>
      <c r="F14" s="75" t="n"/>
      <c r="G14" s="75" t="n"/>
      <c r="I14" s="119" t="inlineStr">
        <is>
          <t>গুরুত্বপূর্ণ তথ্য</t>
        </is>
      </c>
    </row>
    <row r="15" ht="15" customHeight="1" s="52">
      <c r="A15" s="125" t="n">
        <v>46266</v>
      </c>
      <c r="B15" s="76" t="n"/>
      <c r="C15" s="115" t="inlineStr">
        <is>
          <t>অন্যান্য খরচ</t>
        </is>
      </c>
      <c r="D15" s="109">
        <f t="array" ref="D15:D15">IFERROR(INDEX(GroupLookup,MATCH(C15,CategoryList,0)),"")</f>
        <v/>
      </c>
      <c r="E15" s="116" t="n">
        <v>40</v>
      </c>
      <c r="F15" s="76" t="n"/>
      <c r="G15" s="76" t="n"/>
      <c r="I15" s="67" t="inlineStr">
        <is>
          <t>মোট লেনদেন সংখ্যা</t>
        </is>
      </c>
      <c r="J15" s="120">
        <f>COUNT($E$4:$E$203)</f>
        <v/>
      </c>
      <c r="K15" s="62" t="n"/>
    </row>
    <row r="16" ht="15" customHeight="1" s="52">
      <c r="A16" s="125" t="n">
        <v>46266</v>
      </c>
      <c r="B16" s="75" t="n"/>
      <c r="C16" s="126" t="inlineStr">
        <is>
          <t>মোবাইল রিচার্জ</t>
        </is>
      </c>
      <c r="D16" s="109">
        <f t="array" ref="D16:D16">IFERROR(INDEX(GroupLookup,MATCH(C16,CategoryList,0)),"")</f>
        <v/>
      </c>
      <c r="E16" s="127" t="n">
        <v>209</v>
      </c>
      <c r="F16" s="126" t="inlineStr">
        <is>
          <t>রকেট</t>
        </is>
      </c>
      <c r="G16" s="75" t="n"/>
      <c r="I16" s="70" t="inlineStr">
        <is>
          <t>দৈনিক গড় খরচ</t>
        </is>
      </c>
      <c r="J16" s="121">
        <f>IFERROR($J$12/30,0)</f>
        <v/>
      </c>
      <c r="K16" s="62" t="n"/>
    </row>
    <row r="17" ht="15" customHeight="1" s="52">
      <c r="A17" s="125" t="n">
        <v>46267</v>
      </c>
      <c r="B17" s="76" t="n"/>
      <c r="C17" s="115" t="inlineStr">
        <is>
          <t>রিকশা / সিএনজি</t>
        </is>
      </c>
      <c r="D17" s="109">
        <f t="array" ref="D17:D17">IFERROR(INDEX(GroupLookup,MATCH(C17,CategoryList,0)),"")</f>
        <v/>
      </c>
      <c r="E17" s="116" t="n">
        <v>25</v>
      </c>
      <c r="F17" s="76" t="n"/>
      <c r="G17" s="76" t="n"/>
      <c r="I17" s="67" t="inlineStr">
        <is>
          <t>প্রতি লেনদেনে গড়</t>
        </is>
      </c>
      <c r="J17" s="122">
        <f>IFERROR($J$12/COUNT($E$4:$E$203),0)</f>
        <v/>
      </c>
      <c r="K17" s="62" t="n"/>
    </row>
    <row r="18" ht="15" customHeight="1" s="52">
      <c r="A18" s="125" t="n">
        <v>46268</v>
      </c>
      <c r="B18" s="75" t="n"/>
      <c r="C18" s="126" t="inlineStr">
        <is>
          <t>রিকশা / সিএনজি</t>
        </is>
      </c>
      <c r="D18" s="109">
        <f t="array" ref="D18:D18">IFERROR(INDEX(GroupLookup,MATCH(C18,CategoryList,0)),"")</f>
        <v/>
      </c>
      <c r="E18" s="127" t="n">
        <v>35</v>
      </c>
      <c r="F18" s="75" t="n"/>
      <c r="G18" s="75" t="n"/>
      <c r="I18" s="70" t="inlineStr">
        <is>
          <t>সর্বোচ্চ একক খরচ</t>
        </is>
      </c>
      <c r="J18" s="121">
        <f>IFERROR(MAX($E$4:$E$203),0)</f>
        <v/>
      </c>
      <c r="K18" s="62" t="n"/>
    </row>
    <row r="19" ht="15" customHeight="1" s="52">
      <c r="A19" s="125" t="n">
        <v>46269</v>
      </c>
      <c r="B19" s="76" t="n"/>
      <c r="C19" s="115" t="inlineStr">
        <is>
          <t>দান ও যাকাত</t>
        </is>
      </c>
      <c r="D19" s="109">
        <f t="array" ref="D19:D19">IFERROR(INDEX(GroupLookup,MATCH(C19,CategoryList,0)),"")</f>
        <v/>
      </c>
      <c r="E19" s="116" t="n">
        <v>7</v>
      </c>
      <c r="F19" s="76" t="n"/>
      <c r="G19" s="76" t="n"/>
      <c r="I19" s="67" t="inlineStr">
        <is>
          <t>সর্বোচ্চ ব্যয়ের গ্রুপ</t>
        </is>
      </c>
      <c r="J19" s="123">
        <f t="array" ref="J19:J19">IF($J$12=0,"–",IFERROR(INDEX($I$4:$I$11,MATCH(MAX($J$4:$J$11),$J$4:$J$11,0)),"–"))</f>
        <v/>
      </c>
      <c r="K19" s="62" t="n"/>
    </row>
    <row r="20" ht="15" customHeight="1" s="52">
      <c r="A20" s="125" t="n">
        <v>46269</v>
      </c>
      <c r="B20" s="75" t="n"/>
      <c r="C20" s="126" t="inlineStr">
        <is>
          <t>নাশতা ও বেকারি</t>
        </is>
      </c>
      <c r="D20" s="109">
        <f t="array" ref="D20:D20">IFERROR(INDEX(GroupLookup,MATCH(C20,CategoryList,0)),"")</f>
        <v/>
      </c>
      <c r="E20" s="127" t="n">
        <v>60</v>
      </c>
      <c r="F20" s="75" t="n"/>
      <c r="G20" s="75" t="n"/>
      <c r="I20" s="70" t="inlineStr">
        <is>
          <t>সর্বোচ্চ ব্যয়ের খাত</t>
        </is>
      </c>
      <c r="J20" s="124">
        <f t="array" ref="J20:J20">IF($J$12=0,"–",IFERROR(INDEX($I$23:$I$76,MATCH(MAX($J$23:$J$76),$J$23:$J$76,0)),"–"))</f>
        <v/>
      </c>
      <c r="K20" s="62" t="n"/>
    </row>
    <row r="21" ht="25.5" customHeight="1" s="52">
      <c r="A21" s="125" t="n">
        <v>46269</v>
      </c>
      <c r="B21" s="76" t="n"/>
      <c r="C21" s="115" t="inlineStr">
        <is>
          <t>রিকশা / সিএনজি</t>
        </is>
      </c>
      <c r="D21" s="109">
        <f t="array" ref="D21:D21">IFERROR(INDEX(GroupLookup,MATCH(C21,CategoryList,0)),"")</f>
        <v/>
      </c>
      <c r="E21" s="116" t="n">
        <v>60</v>
      </c>
      <c r="F21" s="76" t="n"/>
      <c r="G21" s="76" t="n"/>
      <c r="I21" s="119" t="inlineStr">
        <is>
          <t>খাতভিত্তিক বিস্তারিত</t>
        </is>
      </c>
    </row>
    <row r="22" ht="15.75" customHeight="1" s="52">
      <c r="A22" s="125" t="n">
        <v>46269</v>
      </c>
      <c r="B22" s="75" t="n"/>
      <c r="C22" s="126" t="inlineStr">
        <is>
          <t>উপহার ও অনুষ্ঠান</t>
        </is>
      </c>
      <c r="D22" s="109">
        <f t="array" ref="D22:D22">IFERROR(INDEX(GroupLookup,MATCH(C22,CategoryList,0)),"")</f>
        <v/>
      </c>
      <c r="E22" s="127" t="n">
        <v>400</v>
      </c>
      <c r="F22" s="75" t="n"/>
      <c r="G22" s="75" t="n"/>
      <c r="I22" s="100" t="inlineStr">
        <is>
          <t>খাত</t>
        </is>
      </c>
      <c r="J22" s="100" t="inlineStr">
        <is>
          <t>মোট (৳)</t>
        </is>
      </c>
      <c r="K22" s="100" t="inlineStr">
        <is>
          <t>শতাংশ</t>
        </is>
      </c>
    </row>
    <row r="23" ht="15.75" customHeight="1" s="52">
      <c r="A23" s="125" t="n">
        <v>46269</v>
      </c>
      <c r="B23" s="76" t="n"/>
      <c r="C23" s="115" t="inlineStr">
        <is>
          <t>ফলমূল</t>
        </is>
      </c>
      <c r="D23" s="109">
        <f t="array" ref="D23:D23">IFERROR(INDEX(GroupLookup,MATCH(C23,CategoryList,0)),"")</f>
        <v/>
      </c>
      <c r="E23" s="116" t="n">
        <v>90</v>
      </c>
      <c r="F23" s="76" t="n"/>
      <c r="G23" s="76" t="n"/>
      <c r="I23" s="75" t="inlineStr">
        <is>
          <t>চাল</t>
        </is>
      </c>
      <c r="J23" s="110">
        <f>SUMIF($C$4:$C$203,$I23,$E$4:$E$203)</f>
        <v/>
      </c>
      <c r="K23" s="111">
        <f>IFERROR($J23/$J$12,0)</f>
        <v/>
      </c>
    </row>
    <row r="24" ht="15.75" customHeight="1" s="52">
      <c r="A24" s="125" t="n">
        <v>46270</v>
      </c>
      <c r="B24" s="75" t="n"/>
      <c r="C24" s="126" t="inlineStr">
        <is>
          <t>চাল</t>
        </is>
      </c>
      <c r="D24" s="109">
        <f t="array" ref="D24:D24">IFERROR(INDEX(GroupLookup,MATCH(C24,CategoryList,0)),"")</f>
        <v/>
      </c>
      <c r="E24" s="127" t="n">
        <v>600</v>
      </c>
      <c r="F24" s="75" t="n"/>
      <c r="G24" s="75" t="n"/>
      <c r="I24" s="76" t="inlineStr">
        <is>
          <t>আটা ও ময়দা</t>
        </is>
      </c>
      <c r="J24" s="112">
        <f>SUMIF($C$4:$C$203,$I24,$E$4:$E$203)</f>
        <v/>
      </c>
      <c r="K24" s="113">
        <f>IFERROR($J24/$J$12,0)</f>
        <v/>
      </c>
    </row>
    <row r="25" ht="15.75" customHeight="1" s="52">
      <c r="A25" s="125" t="n">
        <v>46270</v>
      </c>
      <c r="B25" s="76" t="n"/>
      <c r="C25" s="115" t="inlineStr">
        <is>
          <t>ভোজ্য তেল</t>
        </is>
      </c>
      <c r="D25" s="109">
        <f t="array" ref="D25:D25">IFERROR(INDEX(GroupLookup,MATCH(C25,CategoryList,0)),"")</f>
        <v/>
      </c>
      <c r="E25" s="116" t="n">
        <v>398</v>
      </c>
      <c r="F25" s="76" t="n"/>
      <c r="G25" s="76" t="n"/>
      <c r="I25" s="75" t="inlineStr">
        <is>
          <t>ডাল</t>
        </is>
      </c>
      <c r="J25" s="110">
        <f>SUMIF($C$4:$C$203,$I25,$E$4:$E$203)</f>
        <v/>
      </c>
      <c r="K25" s="111">
        <f>IFERROR($J25/$J$12,0)</f>
        <v/>
      </c>
    </row>
    <row r="26" ht="15.75" customHeight="1" s="52">
      <c r="A26" s="125" t="n">
        <v>46270</v>
      </c>
      <c r="B26" s="75" t="n"/>
      <c r="C26" s="126" t="inlineStr">
        <is>
          <t>নাশতা ও বেকারি</t>
        </is>
      </c>
      <c r="D26" s="109">
        <f t="array" ref="D26:D26">IFERROR(INDEX(GroupLookup,MATCH(C26,CategoryList,0)),"")</f>
        <v/>
      </c>
      <c r="E26" s="127" t="n">
        <v>102</v>
      </c>
      <c r="F26" s="75" t="n"/>
      <c r="G26" s="75" t="n"/>
      <c r="I26" s="76" t="inlineStr">
        <is>
          <t>মাছ</t>
        </is>
      </c>
      <c r="J26" s="112">
        <f>SUMIF($C$4:$C$203,$I26,$E$4:$E$203)</f>
        <v/>
      </c>
      <c r="K26" s="113">
        <f>IFERROR($J26/$J$12,0)</f>
        <v/>
      </c>
    </row>
    <row r="27" ht="15.75" customHeight="1" s="52">
      <c r="A27" s="125" t="n">
        <v>46270</v>
      </c>
      <c r="B27" s="76" t="n"/>
      <c r="C27" s="115" t="inlineStr">
        <is>
          <t>মাংস</t>
        </is>
      </c>
      <c r="D27" s="109">
        <f t="array" ref="D27:D27">IFERROR(INDEX(GroupLookup,MATCH(C27,CategoryList,0)),"")</f>
        <v/>
      </c>
      <c r="E27" s="116" t="n">
        <v>1480</v>
      </c>
      <c r="F27" s="76" t="n"/>
      <c r="G27" s="76" t="n"/>
      <c r="I27" s="75" t="inlineStr">
        <is>
          <t>মাংস</t>
        </is>
      </c>
      <c r="J27" s="110">
        <f>SUMIF($C$4:$C$203,$I27,$E$4:$E$203)</f>
        <v/>
      </c>
      <c r="K27" s="111">
        <f>IFERROR($J27/$J$12,0)</f>
        <v/>
      </c>
    </row>
    <row r="28" ht="15.75" customHeight="1" s="52">
      <c r="A28" s="125" t="n">
        <v>46270</v>
      </c>
      <c r="B28" s="75" t="n"/>
      <c r="C28" s="126" t="inlineStr">
        <is>
          <t>দুধ ও দুগ্ধজাত পণ্য</t>
        </is>
      </c>
      <c r="D28" s="109">
        <f t="array" ref="D28:D28">IFERROR(INDEX(GroupLookup,MATCH(C28,CategoryList,0)),"")</f>
        <v/>
      </c>
      <c r="E28" s="127" t="n">
        <v>470</v>
      </c>
      <c r="F28" s="75" t="n"/>
      <c r="G28" s="75" t="n"/>
      <c r="I28" s="76" t="inlineStr">
        <is>
          <t>ডিম</t>
        </is>
      </c>
      <c r="J28" s="112">
        <f>SUMIF($C$4:$C$203,$I28,$E$4:$E$203)</f>
        <v/>
      </c>
      <c r="K28" s="113">
        <f>IFERROR($J28/$J$12,0)</f>
        <v/>
      </c>
    </row>
    <row r="29" ht="15.75" customHeight="1" s="52">
      <c r="A29" s="125" t="n">
        <v>46270</v>
      </c>
      <c r="B29" s="76" t="n"/>
      <c r="C29" s="115" t="inlineStr">
        <is>
          <t>ডিম</t>
        </is>
      </c>
      <c r="D29" s="109">
        <f t="array" ref="D29:D29">IFERROR(INDEX(GroupLookup,MATCH(C29,CategoryList,0)),"")</f>
        <v/>
      </c>
      <c r="E29" s="116" t="n">
        <v>150</v>
      </c>
      <c r="F29" s="76" t="n"/>
      <c r="G29" s="76" t="n"/>
      <c r="I29" s="75" t="inlineStr">
        <is>
          <t>দুধ ও দুগ্ধজাত পণ্য</t>
        </is>
      </c>
      <c r="J29" s="110">
        <f>SUMIF($C$4:$C$203,$I29,$E$4:$E$203)</f>
        <v/>
      </c>
      <c r="K29" s="111">
        <f>IFERROR($J29/$J$12,0)</f>
        <v/>
      </c>
    </row>
    <row r="30" ht="15.75" customHeight="1" s="52">
      <c r="A30" s="125" t="n">
        <v>46270</v>
      </c>
      <c r="B30" s="75" t="n"/>
      <c r="C30" s="126" t="inlineStr">
        <is>
          <t>শাক-সবজি</t>
        </is>
      </c>
      <c r="D30" s="109">
        <f t="array" ref="D30:D30">IFERROR(INDEX(GroupLookup,MATCH(C30,CategoryList,0)),"")</f>
        <v/>
      </c>
      <c r="E30" s="127" t="n">
        <v>365</v>
      </c>
      <c r="F30" s="75" t="n"/>
      <c r="G30" s="75" t="n"/>
      <c r="I30" s="76" t="inlineStr">
        <is>
          <t>ভোজ্য তেল</t>
        </is>
      </c>
      <c r="J30" s="112">
        <f>SUMIF($C$4:$C$203,$I30,$E$4:$E$203)</f>
        <v/>
      </c>
      <c r="K30" s="113">
        <f>IFERROR($J30/$J$12,0)</f>
        <v/>
      </c>
    </row>
    <row r="31" ht="15.75" customHeight="1" s="52">
      <c r="A31" s="125" t="n">
        <v>46270</v>
      </c>
      <c r="B31" s="76" t="n"/>
      <c r="C31" s="115" t="inlineStr">
        <is>
          <t>মোবাইল রিচার্জ</t>
        </is>
      </c>
      <c r="D31" s="109">
        <f t="array" ref="D31:D31">IFERROR(INDEX(GroupLookup,MATCH(C31,CategoryList,0)),"")</f>
        <v/>
      </c>
      <c r="E31" s="116" t="n">
        <v>30</v>
      </c>
      <c r="F31" s="76" t="n"/>
      <c r="G31" s="76" t="n"/>
      <c r="I31" s="75" t="inlineStr">
        <is>
          <t>শাক-সবজি</t>
        </is>
      </c>
      <c r="J31" s="110">
        <f>SUMIF($C$4:$C$203,$I31,$E$4:$E$203)</f>
        <v/>
      </c>
      <c r="K31" s="111">
        <f>IFERROR($J31/$J$12,0)</f>
        <v/>
      </c>
    </row>
    <row r="32" ht="15.75" customHeight="1" s="52">
      <c r="A32" s="125" t="n"/>
      <c r="B32" s="75" t="n"/>
      <c r="C32" s="126" t="n"/>
      <c r="D32" s="109">
        <f t="array" ref="D32:D32">IFERROR(INDEX(GroupLookup,MATCH(C32,CategoryList,0)),"")</f>
        <v/>
      </c>
      <c r="E32" s="127" t="n"/>
      <c r="F32" s="75" t="n"/>
      <c r="G32" s="75" t="n"/>
      <c r="I32" s="76" t="inlineStr">
        <is>
          <t>ফলমূল</t>
        </is>
      </c>
      <c r="J32" s="112">
        <f>SUMIF($C$4:$C$203,$I32,$E$4:$E$203)</f>
        <v/>
      </c>
      <c r="K32" s="113">
        <f>IFERROR($J32/$J$12,0)</f>
        <v/>
      </c>
    </row>
    <row r="33" ht="15.75" customHeight="1" s="52">
      <c r="A33" s="125" t="n"/>
      <c r="B33" s="75" t="n"/>
      <c r="C33" s="126" t="n"/>
      <c r="D33" s="109">
        <f t="array" ref="D33:D33">IFERROR(INDEX(GroupLookup,MATCH(C33,CategoryList,0)),"")</f>
        <v/>
      </c>
      <c r="E33" s="127" t="n"/>
      <c r="F33" s="75" t="n"/>
      <c r="G33" s="75" t="n"/>
      <c r="I33" s="75" t="inlineStr">
        <is>
          <t>মসলা</t>
        </is>
      </c>
      <c r="J33" s="110">
        <f>SUMIF($C$4:$C$203,$I33,$E$4:$E$203)</f>
        <v/>
      </c>
      <c r="K33" s="111">
        <f>IFERROR($J33/$J$12,0)</f>
        <v/>
      </c>
    </row>
    <row r="34" ht="15.75" customHeight="1" s="52">
      <c r="A34" s="108" t="n"/>
      <c r="B34" s="75" t="n"/>
      <c r="C34" s="75" t="n"/>
      <c r="D34" s="109">
        <f t="array" ref="D34:D34">IFERROR(INDEX(GroupLookup,MATCH(C34,CategoryList,0)),"")</f>
        <v/>
      </c>
      <c r="E34" s="110" t="n"/>
      <c r="F34" s="75" t="n"/>
      <c r="G34" s="75" t="n"/>
      <c r="I34" s="76" t="inlineStr">
        <is>
          <t>চিনি ও লবণ</t>
        </is>
      </c>
      <c r="J34" s="112">
        <f>SUMIF($C$4:$C$203,$I34,$E$4:$E$203)</f>
        <v/>
      </c>
      <c r="K34" s="113">
        <f>IFERROR($J34/$J$12,0)</f>
        <v/>
      </c>
    </row>
    <row r="35" ht="15.75" customHeight="1" s="52">
      <c r="A35" s="114" t="n"/>
      <c r="B35" s="76" t="n"/>
      <c r="C35" s="76" t="n"/>
      <c r="D35" s="109">
        <f t="array" ref="D35:D35">IFERROR(INDEX(GroupLookup,MATCH(C35,CategoryList,0)),"")</f>
        <v/>
      </c>
      <c r="E35" s="112" t="n"/>
      <c r="F35" s="76" t="n"/>
      <c r="G35" s="76" t="n"/>
      <c r="I35" s="75" t="inlineStr">
        <is>
          <t>চা ও কফি</t>
        </is>
      </c>
      <c r="J35" s="110">
        <f>SUMIF($C$4:$C$203,$I35,$E$4:$E$203)</f>
        <v/>
      </c>
      <c r="K35" s="111">
        <f>IFERROR($J35/$J$12,0)</f>
        <v/>
      </c>
    </row>
    <row r="36" ht="15.75" customHeight="1" s="52">
      <c r="A36" s="108" t="n"/>
      <c r="B36" s="75" t="n"/>
      <c r="C36" s="75" t="n"/>
      <c r="D36" s="109">
        <f t="array" ref="D36:D36">IFERROR(INDEX(GroupLookup,MATCH(C36,CategoryList,0)),"")</f>
        <v/>
      </c>
      <c r="E36" s="110" t="n"/>
      <c r="F36" s="75" t="n"/>
      <c r="G36" s="75" t="n"/>
      <c r="I36" s="76" t="inlineStr">
        <is>
          <t>নাশতা ও বেকারি</t>
        </is>
      </c>
      <c r="J36" s="112">
        <f>SUMIF($C$4:$C$203,$I36,$E$4:$E$203)</f>
        <v/>
      </c>
      <c r="K36" s="113">
        <f>IFERROR($J36/$J$12,0)</f>
        <v/>
      </c>
    </row>
    <row r="37" ht="15.75" customHeight="1" s="52">
      <c r="A37" s="114" t="n"/>
      <c r="B37" s="76" t="n"/>
      <c r="C37" s="76" t="n"/>
      <c r="D37" s="109">
        <f t="array" ref="D37:D37">IFERROR(INDEX(GroupLookup,MATCH(C37,CategoryList,0)),"")</f>
        <v/>
      </c>
      <c r="E37" s="112" t="n"/>
      <c r="F37" s="76" t="n"/>
      <c r="G37" s="76" t="n"/>
      <c r="I37" s="75" t="inlineStr">
        <is>
          <t>বাইরে খাওয়া / রেস্তোরাঁ</t>
        </is>
      </c>
      <c r="J37" s="110">
        <f>SUMIF($C$4:$C$203,$I37,$E$4:$E$203)</f>
        <v/>
      </c>
      <c r="K37" s="111">
        <f>IFERROR($J37/$J$12,0)</f>
        <v/>
      </c>
    </row>
    <row r="38" ht="15.75" customHeight="1" s="52">
      <c r="A38" s="108" t="n"/>
      <c r="B38" s="75" t="n"/>
      <c r="C38" s="75" t="n"/>
      <c r="D38" s="109">
        <f t="array" ref="D38:D38">IFERROR(INDEX(GroupLookup,MATCH(C38,CategoryList,0)),"")</f>
        <v/>
      </c>
      <c r="E38" s="110" t="n"/>
      <c r="F38" s="75" t="n"/>
      <c r="G38" s="75" t="n"/>
      <c r="I38" s="76" t="inlineStr">
        <is>
          <t>বাড়ি ভাড়া</t>
        </is>
      </c>
      <c r="J38" s="112">
        <f>SUMIF($C$4:$C$203,$I38,$E$4:$E$203)</f>
        <v/>
      </c>
      <c r="K38" s="113">
        <f>IFERROR($J38/$J$12,0)</f>
        <v/>
      </c>
    </row>
    <row r="39" ht="15.75" customHeight="1" s="52">
      <c r="A39" s="114" t="n"/>
      <c r="B39" s="76" t="n"/>
      <c r="C39" s="76" t="n"/>
      <c r="D39" s="109">
        <f t="array" ref="D39:D39">IFERROR(INDEX(GroupLookup,MATCH(C39,CategoryList,0)),"")</f>
        <v/>
      </c>
      <c r="E39" s="112" t="n"/>
      <c r="F39" s="76" t="n"/>
      <c r="G39" s="76" t="n"/>
      <c r="I39" s="75" t="inlineStr">
        <is>
          <t>সার্ভিস চার্জ</t>
        </is>
      </c>
      <c r="J39" s="110">
        <f>SUMIF($C$4:$C$203,$I39,$E$4:$E$203)</f>
        <v/>
      </c>
      <c r="K39" s="111">
        <f>IFERROR($J39/$J$12,0)</f>
        <v/>
      </c>
    </row>
    <row r="40" ht="15.75" customHeight="1" s="52">
      <c r="A40" s="108" t="n"/>
      <c r="B40" s="75" t="n"/>
      <c r="C40" s="75" t="n"/>
      <c r="D40" s="109">
        <f t="array" ref="D40:D40">IFERROR(INDEX(GroupLookup,MATCH(C40,CategoryList,0)),"")</f>
        <v/>
      </c>
      <c r="E40" s="110" t="n"/>
      <c r="F40" s="75" t="n"/>
      <c r="G40" s="75" t="n"/>
      <c r="I40" s="76" t="inlineStr">
        <is>
          <t>বাড়ি মেরামত ও রক্ষণাবেক্ষণ</t>
        </is>
      </c>
      <c r="J40" s="112">
        <f>SUMIF($C$4:$C$203,$I40,$E$4:$E$203)</f>
        <v/>
      </c>
      <c r="K40" s="113">
        <f>IFERROR($J40/$J$12,0)</f>
        <v/>
      </c>
    </row>
    <row r="41" ht="15.75" customHeight="1" s="52">
      <c r="A41" s="114" t="n"/>
      <c r="B41" s="76" t="n"/>
      <c r="C41" s="76" t="n"/>
      <c r="D41" s="109">
        <f t="array" ref="D41:D41">IFERROR(INDEX(GroupLookup,MATCH(C41,CategoryList,0)),"")</f>
        <v/>
      </c>
      <c r="E41" s="112" t="n"/>
      <c r="F41" s="76" t="n"/>
      <c r="G41" s="76" t="n"/>
      <c r="I41" s="75" t="inlineStr">
        <is>
          <t>গৃহকর্মীর বেতন</t>
        </is>
      </c>
      <c r="J41" s="110">
        <f>SUMIF($C$4:$C$203,$I41,$E$4:$E$203)</f>
        <v/>
      </c>
      <c r="K41" s="111">
        <f>IFERROR($J41/$J$12,0)</f>
        <v/>
      </c>
    </row>
    <row r="42" ht="15.75" customHeight="1" s="52">
      <c r="A42" s="108" t="n"/>
      <c r="B42" s="75" t="n"/>
      <c r="C42" s="75" t="n"/>
      <c r="D42" s="109">
        <f t="array" ref="D42:D42">IFERROR(INDEX(GroupLookup,MATCH(C42,CategoryList,0)),"")</f>
        <v/>
      </c>
      <c r="E42" s="110" t="n"/>
      <c r="F42" s="75" t="n"/>
      <c r="G42" s="75" t="n"/>
      <c r="I42" s="76" t="inlineStr">
        <is>
          <t>আসবাবপত্র</t>
        </is>
      </c>
      <c r="J42" s="112">
        <f>SUMIF($C$4:$C$203,$I42,$E$4:$E$203)</f>
        <v/>
      </c>
      <c r="K42" s="113">
        <f>IFERROR($J42/$J$12,0)</f>
        <v/>
      </c>
    </row>
    <row r="43" ht="15.75" customHeight="1" s="52">
      <c r="A43" s="114" t="n"/>
      <c r="B43" s="76" t="n"/>
      <c r="C43" s="76" t="n"/>
      <c r="D43" s="109">
        <f t="array" ref="D43:D43">IFERROR(INDEX(GroupLookup,MATCH(C43,CategoryList,0)),"")</f>
        <v/>
      </c>
      <c r="E43" s="112" t="n"/>
      <c r="F43" s="76" t="n"/>
      <c r="G43" s="76" t="n"/>
      <c r="I43" s="75" t="inlineStr">
        <is>
          <t>বিদ্যুৎ বিল</t>
        </is>
      </c>
      <c r="J43" s="110">
        <f>SUMIF($C$4:$C$203,$I43,$E$4:$E$203)</f>
        <v/>
      </c>
      <c r="K43" s="111">
        <f>IFERROR($J43/$J$12,0)</f>
        <v/>
      </c>
    </row>
    <row r="44" ht="15.75" customHeight="1" s="52">
      <c r="A44" s="108" t="n"/>
      <c r="B44" s="75" t="n"/>
      <c r="C44" s="75" t="n"/>
      <c r="D44" s="109">
        <f t="array" ref="D44:D44">IFERROR(INDEX(GroupLookup,MATCH(C44,CategoryList,0)),"")</f>
        <v/>
      </c>
      <c r="E44" s="110" t="n"/>
      <c r="F44" s="75" t="n"/>
      <c r="G44" s="75" t="n"/>
      <c r="I44" s="76" t="inlineStr">
        <is>
          <t>গ্যাস বিল</t>
        </is>
      </c>
      <c r="J44" s="112">
        <f>SUMIF($C$4:$C$203,$I44,$E$4:$E$203)</f>
        <v/>
      </c>
      <c r="K44" s="113">
        <f>IFERROR($J44/$J$12,0)</f>
        <v/>
      </c>
    </row>
    <row r="45" ht="15.75" customHeight="1" s="52">
      <c r="A45" s="114" t="n"/>
      <c r="B45" s="76" t="n"/>
      <c r="C45" s="76" t="n"/>
      <c r="D45" s="109">
        <f t="array" ref="D45:D45">IFERROR(INDEX(GroupLookup,MATCH(C45,CategoryList,0)),"")</f>
        <v/>
      </c>
      <c r="E45" s="112" t="n"/>
      <c r="F45" s="76" t="n"/>
      <c r="G45" s="76" t="n"/>
      <c r="I45" s="75" t="inlineStr">
        <is>
          <t>পানির বিল</t>
        </is>
      </c>
      <c r="J45" s="110">
        <f>SUMIF($C$4:$C$203,$I45,$E$4:$E$203)</f>
        <v/>
      </c>
      <c r="K45" s="111">
        <f>IFERROR($J45/$J$12,0)</f>
        <v/>
      </c>
    </row>
    <row r="46" ht="15.75" customHeight="1" s="52">
      <c r="A46" s="108" t="n"/>
      <c r="B46" s="75" t="n"/>
      <c r="C46" s="75" t="n"/>
      <c r="D46" s="109">
        <f t="array" ref="D46:D46">IFERROR(INDEX(GroupLookup,MATCH(C46,CategoryList,0)),"")</f>
        <v/>
      </c>
      <c r="E46" s="110" t="n"/>
      <c r="F46" s="75" t="n"/>
      <c r="G46" s="75" t="n"/>
      <c r="I46" s="76" t="inlineStr">
        <is>
          <t>ইন্টারনেট বিল</t>
        </is>
      </c>
      <c r="J46" s="112">
        <f>SUMIF($C$4:$C$203,$I46,$E$4:$E$203)</f>
        <v/>
      </c>
      <c r="K46" s="113">
        <f>IFERROR($J46/$J$12,0)</f>
        <v/>
      </c>
    </row>
    <row r="47" ht="15.75" customHeight="1" s="52">
      <c r="A47" s="114" t="n"/>
      <c r="B47" s="76" t="n"/>
      <c r="C47" s="76" t="n"/>
      <c r="D47" s="109">
        <f t="array" ref="D47:D47">IFERROR(INDEX(GroupLookup,MATCH(C47,CategoryList,0)),"")</f>
        <v/>
      </c>
      <c r="E47" s="112" t="n"/>
      <c r="F47" s="76" t="n"/>
      <c r="G47" s="76" t="n"/>
      <c r="I47" s="75" t="inlineStr">
        <is>
          <t>মোবাইল রিচার্জ</t>
        </is>
      </c>
      <c r="J47" s="110">
        <f>SUMIF($C$4:$C$203,$I47,$E$4:$E$203)</f>
        <v/>
      </c>
      <c r="K47" s="111">
        <f>IFERROR($J47/$J$12,0)</f>
        <v/>
      </c>
    </row>
    <row r="48" ht="15.75" customHeight="1" s="52">
      <c r="A48" s="108" t="n"/>
      <c r="B48" s="75" t="n"/>
      <c r="C48" s="75" t="n"/>
      <c r="D48" s="109">
        <f t="array" ref="D48:D48">IFERROR(INDEX(GroupLookup,MATCH(C48,CategoryList,0)),"")</f>
        <v/>
      </c>
      <c r="E48" s="110" t="n"/>
      <c r="F48" s="75" t="n"/>
      <c r="G48" s="75" t="n"/>
      <c r="I48" s="76" t="inlineStr">
        <is>
          <t>ডিশ / ক্যাবল বিল</t>
        </is>
      </c>
      <c r="J48" s="112">
        <f>SUMIF($C$4:$C$203,$I48,$E$4:$E$203)</f>
        <v/>
      </c>
      <c r="K48" s="113">
        <f>IFERROR($J48/$J$12,0)</f>
        <v/>
      </c>
    </row>
    <row r="49" ht="15.75" customHeight="1" s="52">
      <c r="A49" s="114" t="n"/>
      <c r="B49" s="76" t="n"/>
      <c r="C49" s="76" t="n"/>
      <c r="D49" s="109">
        <f t="array" ref="D49:D49">IFERROR(INDEX(GroupLookup,MATCH(C49,CategoryList,0)),"")</f>
        <v/>
      </c>
      <c r="E49" s="112" t="n"/>
      <c r="F49" s="76" t="n"/>
      <c r="G49" s="76" t="n"/>
      <c r="I49" s="75" t="inlineStr">
        <is>
          <t>পৌর কর ও হোল্ডিং ট্যাক্স</t>
        </is>
      </c>
      <c r="J49" s="110">
        <f>SUMIF($C$4:$C$203,$I49,$E$4:$E$203)</f>
        <v/>
      </c>
      <c r="K49" s="111">
        <f>IFERROR($J49/$J$12,0)</f>
        <v/>
      </c>
    </row>
    <row r="50" ht="15.75" customHeight="1" s="52">
      <c r="A50" s="108" t="n"/>
      <c r="B50" s="75" t="n"/>
      <c r="C50" s="75" t="n"/>
      <c r="D50" s="109">
        <f t="array" ref="D50:D50">IFERROR(INDEX(GroupLookup,MATCH(C50,CategoryList,0)),"")</f>
        <v/>
      </c>
      <c r="E50" s="110" t="n"/>
      <c r="F50" s="75" t="n"/>
      <c r="G50" s="75" t="n"/>
      <c r="I50" s="76" t="inlineStr">
        <is>
          <t>ময়লা ও পরিচ্ছন্নতা বিল</t>
        </is>
      </c>
      <c r="J50" s="112">
        <f>SUMIF($C$4:$C$203,$I50,$E$4:$E$203)</f>
        <v/>
      </c>
      <c r="K50" s="113">
        <f>IFERROR($J50/$J$12,0)</f>
        <v/>
      </c>
    </row>
    <row r="51" ht="15.75" customHeight="1" s="52">
      <c r="A51" s="114" t="n"/>
      <c r="B51" s="76" t="n"/>
      <c r="C51" s="76" t="n"/>
      <c r="D51" s="109">
        <f t="array" ref="D51:D51">IFERROR(INDEX(GroupLookup,MATCH(C51,CategoryList,0)),"")</f>
        <v/>
      </c>
      <c r="E51" s="112" t="n"/>
      <c r="F51" s="76" t="n"/>
      <c r="G51" s="76" t="n"/>
      <c r="I51" s="75" t="inlineStr">
        <is>
          <t>রিকশা / সিএনজি</t>
        </is>
      </c>
      <c r="J51" s="110">
        <f>SUMIF($C$4:$C$203,$I51,$E$4:$E$203)</f>
        <v/>
      </c>
      <c r="K51" s="111">
        <f>IFERROR($J51/$J$12,0)</f>
        <v/>
      </c>
    </row>
    <row r="52" ht="15.75" customHeight="1" s="52">
      <c r="A52" s="108" t="n"/>
      <c r="B52" s="75" t="n"/>
      <c r="C52" s="75" t="n"/>
      <c r="D52" s="109">
        <f t="array" ref="D52:D52">IFERROR(INDEX(GroupLookup,MATCH(C52,CategoryList,0)),"")</f>
        <v/>
      </c>
      <c r="E52" s="110" t="n"/>
      <c r="F52" s="75" t="n"/>
      <c r="G52" s="75" t="n"/>
      <c r="I52" s="76" t="inlineStr">
        <is>
          <t>বাস / ট্রেন / লঞ্চ ভাড়া</t>
        </is>
      </c>
      <c r="J52" s="112">
        <f>SUMIF($C$4:$C$203,$I52,$E$4:$E$203)</f>
        <v/>
      </c>
      <c r="K52" s="113">
        <f>IFERROR($J52/$J$12,0)</f>
        <v/>
      </c>
    </row>
    <row r="53" ht="15.75" customHeight="1" s="52">
      <c r="A53" s="114" t="n"/>
      <c r="B53" s="76" t="n"/>
      <c r="C53" s="76" t="n"/>
      <c r="D53" s="109">
        <f t="array" ref="D53:D53">IFERROR(INDEX(GroupLookup,MATCH(C53,CategoryList,0)),"")</f>
        <v/>
      </c>
      <c r="E53" s="112" t="n"/>
      <c r="F53" s="76" t="n"/>
      <c r="G53" s="76" t="n"/>
      <c r="I53" s="75" t="inlineStr">
        <is>
          <t>রাইড শেয়ারিং</t>
        </is>
      </c>
      <c r="J53" s="110">
        <f>SUMIF($C$4:$C$203,$I53,$E$4:$E$203)</f>
        <v/>
      </c>
      <c r="K53" s="111">
        <f>IFERROR($J53/$J$12,0)</f>
        <v/>
      </c>
    </row>
    <row r="54" ht="15.75" customHeight="1" s="52">
      <c r="A54" s="108" t="n"/>
      <c r="B54" s="75" t="n"/>
      <c r="C54" s="75" t="n"/>
      <c r="D54" s="109">
        <f t="array" ref="D54:D54">IFERROR(INDEX(GroupLookup,MATCH(C54,CategoryList,0)),"")</f>
        <v/>
      </c>
      <c r="E54" s="110" t="n"/>
      <c r="F54" s="75" t="n"/>
      <c r="G54" s="75" t="n"/>
      <c r="I54" s="76" t="inlineStr">
        <is>
          <t>জ্বালানি (পেট্রোল / ডিজেল)</t>
        </is>
      </c>
      <c r="J54" s="112">
        <f>SUMIF($C$4:$C$203,$I54,$E$4:$E$203)</f>
        <v/>
      </c>
      <c r="K54" s="113">
        <f>IFERROR($J54/$J$12,0)</f>
        <v/>
      </c>
    </row>
    <row r="55" ht="15.75" customHeight="1" s="52">
      <c r="A55" s="114" t="n"/>
      <c r="B55" s="76" t="n"/>
      <c r="C55" s="76" t="n"/>
      <c r="D55" s="109">
        <f t="array" ref="D55:D55">IFERROR(INDEX(GroupLookup,MATCH(C55,CategoryList,0)),"")</f>
        <v/>
      </c>
      <c r="E55" s="112" t="n"/>
      <c r="F55" s="76" t="n"/>
      <c r="G55" s="76" t="n"/>
      <c r="I55" s="75" t="inlineStr">
        <is>
          <t>গাড়ি / বাইক রক্ষণাবেক্ষণ</t>
        </is>
      </c>
      <c r="J55" s="110">
        <f>SUMIF($C$4:$C$203,$I55,$E$4:$E$203)</f>
        <v/>
      </c>
      <c r="K55" s="111">
        <f>IFERROR($J55/$J$12,0)</f>
        <v/>
      </c>
    </row>
    <row r="56" ht="15.75" customHeight="1" s="52">
      <c r="A56" s="108" t="n"/>
      <c r="B56" s="75" t="n"/>
      <c r="C56" s="75" t="n"/>
      <c r="D56" s="109">
        <f t="array" ref="D56:D56">IFERROR(INDEX(GroupLookup,MATCH(C56,CategoryList,0)),"")</f>
        <v/>
      </c>
      <c r="E56" s="110" t="n"/>
      <c r="F56" s="75" t="n"/>
      <c r="G56" s="75" t="n"/>
      <c r="I56" s="76" t="inlineStr">
        <is>
          <t>পার্কিং ও টোল</t>
        </is>
      </c>
      <c r="J56" s="112">
        <f>SUMIF($C$4:$C$203,$I56,$E$4:$E$203)</f>
        <v/>
      </c>
      <c r="K56" s="113">
        <f>IFERROR($J56/$J$12,0)</f>
        <v/>
      </c>
    </row>
    <row r="57" ht="15.75" customHeight="1" s="52">
      <c r="A57" s="114" t="n"/>
      <c r="B57" s="76" t="n"/>
      <c r="C57" s="76" t="n"/>
      <c r="D57" s="109">
        <f t="array" ref="D57:D57">IFERROR(INDEX(GroupLookup,MATCH(C57,CategoryList,0)),"")</f>
        <v/>
      </c>
      <c r="E57" s="112" t="n"/>
      <c r="F57" s="76" t="n"/>
      <c r="G57" s="76" t="n"/>
      <c r="I57" s="75" t="inlineStr">
        <is>
          <t>ওষুধ</t>
        </is>
      </c>
      <c r="J57" s="110">
        <f>SUMIF($C$4:$C$203,$I57,$E$4:$E$203)</f>
        <v/>
      </c>
      <c r="K57" s="111">
        <f>IFERROR($J57/$J$12,0)</f>
        <v/>
      </c>
    </row>
    <row r="58" ht="15.75" customHeight="1" s="52">
      <c r="A58" s="108" t="n"/>
      <c r="B58" s="75" t="n"/>
      <c r="C58" s="75" t="n"/>
      <c r="D58" s="109">
        <f t="array" ref="D58:D58">IFERROR(INDEX(GroupLookup,MATCH(C58,CategoryList,0)),"")</f>
        <v/>
      </c>
      <c r="E58" s="110" t="n"/>
      <c r="F58" s="75" t="n"/>
      <c r="G58" s="75" t="n"/>
      <c r="I58" s="76" t="inlineStr">
        <is>
          <t>ডাক্তারের ফি</t>
        </is>
      </c>
      <c r="J58" s="112">
        <f>SUMIF($C$4:$C$203,$I58,$E$4:$E$203)</f>
        <v/>
      </c>
      <c r="K58" s="113">
        <f>IFERROR($J58/$J$12,0)</f>
        <v/>
      </c>
    </row>
    <row r="59" ht="15.75" customHeight="1" s="52">
      <c r="A59" s="114" t="n"/>
      <c r="B59" s="76" t="n"/>
      <c r="C59" s="76" t="n"/>
      <c r="D59" s="109">
        <f t="array" ref="D59:D59">IFERROR(INDEX(GroupLookup,MATCH(C59,CategoryList,0)),"")</f>
        <v/>
      </c>
      <c r="E59" s="112" t="n"/>
      <c r="F59" s="76" t="n"/>
      <c r="G59" s="76" t="n"/>
      <c r="I59" s="75" t="inlineStr">
        <is>
          <t>চিকিৎসা পরীক্ষা</t>
        </is>
      </c>
      <c r="J59" s="110">
        <f>SUMIF($C$4:$C$203,$I59,$E$4:$E$203)</f>
        <v/>
      </c>
      <c r="K59" s="111">
        <f>IFERROR($J59/$J$12,0)</f>
        <v/>
      </c>
    </row>
    <row r="60" ht="15.75" customHeight="1" s="52">
      <c r="A60" s="108" t="n"/>
      <c r="B60" s="75" t="n"/>
      <c r="C60" s="75" t="n"/>
      <c r="D60" s="109">
        <f t="array" ref="D60:D60">IFERROR(INDEX(GroupLookup,MATCH(C60,CategoryList,0)),"")</f>
        <v/>
      </c>
      <c r="E60" s="110" t="n"/>
      <c r="F60" s="75" t="n"/>
      <c r="G60" s="75" t="n"/>
      <c r="I60" s="76" t="inlineStr">
        <is>
          <t>স্বাস্থ্য বীমা</t>
        </is>
      </c>
      <c r="J60" s="112">
        <f>SUMIF($C$4:$C$203,$I60,$E$4:$E$203)</f>
        <v/>
      </c>
      <c r="K60" s="113">
        <f>IFERROR($J60/$J$12,0)</f>
        <v/>
      </c>
    </row>
    <row r="61" ht="15.75" customHeight="1" s="52">
      <c r="A61" s="114" t="n"/>
      <c r="B61" s="76" t="n"/>
      <c r="C61" s="76" t="n"/>
      <c r="D61" s="109">
        <f t="array" ref="D61:D61">IFERROR(INDEX(GroupLookup,MATCH(C61,CategoryList,0)),"")</f>
        <v/>
      </c>
      <c r="E61" s="112" t="n"/>
      <c r="F61" s="76" t="n"/>
      <c r="G61" s="76" t="n"/>
      <c r="I61" s="75" t="inlineStr">
        <is>
          <t>স্কুল / কলেজ ফি</t>
        </is>
      </c>
      <c r="J61" s="110">
        <f>SUMIF($C$4:$C$203,$I61,$E$4:$E$203)</f>
        <v/>
      </c>
      <c r="K61" s="111">
        <f>IFERROR($J61/$J$12,0)</f>
        <v/>
      </c>
    </row>
    <row r="62" ht="15.75" customHeight="1" s="52">
      <c r="A62" s="108" t="n"/>
      <c r="B62" s="75" t="n"/>
      <c r="C62" s="75" t="n"/>
      <c r="D62" s="109">
        <f t="array" ref="D62:D62">IFERROR(INDEX(GroupLookup,MATCH(C62,CategoryList,0)),"")</f>
        <v/>
      </c>
      <c r="E62" s="110" t="n"/>
      <c r="F62" s="75" t="n"/>
      <c r="G62" s="75" t="n"/>
      <c r="I62" s="76" t="inlineStr">
        <is>
          <t>প্রাইভেট / কোচিং</t>
        </is>
      </c>
      <c r="J62" s="112">
        <f>SUMIF($C$4:$C$203,$I62,$E$4:$E$203)</f>
        <v/>
      </c>
      <c r="K62" s="113">
        <f>IFERROR($J62/$J$12,0)</f>
        <v/>
      </c>
    </row>
    <row r="63" ht="15.75" customHeight="1" s="52">
      <c r="A63" s="114" t="n"/>
      <c r="B63" s="76" t="n"/>
      <c r="C63" s="76" t="n"/>
      <c r="D63" s="109">
        <f t="array" ref="D63:D63">IFERROR(INDEX(GroupLookup,MATCH(C63,CategoryList,0)),"")</f>
        <v/>
      </c>
      <c r="E63" s="112" t="n"/>
      <c r="F63" s="76" t="n"/>
      <c r="G63" s="76" t="n"/>
      <c r="I63" s="75" t="inlineStr">
        <is>
          <t>বই ও শিক্ষা উপকরণ</t>
        </is>
      </c>
      <c r="J63" s="110">
        <f>SUMIF($C$4:$C$203,$I63,$E$4:$E$203)</f>
        <v/>
      </c>
      <c r="K63" s="111">
        <f>IFERROR($J63/$J$12,0)</f>
        <v/>
      </c>
    </row>
    <row r="64" ht="15.75" customHeight="1" s="52">
      <c r="A64" s="108" t="n"/>
      <c r="B64" s="75" t="n"/>
      <c r="C64" s="75" t="n"/>
      <c r="D64" s="109">
        <f t="array" ref="D64:D64">IFERROR(INDEX(GroupLookup,MATCH(C64,CategoryList,0)),"")</f>
        <v/>
      </c>
      <c r="E64" s="110" t="n"/>
      <c r="F64" s="75" t="n"/>
      <c r="G64" s="75" t="n"/>
      <c r="I64" s="76" t="inlineStr">
        <is>
          <t>পরীক্ষার ফি</t>
        </is>
      </c>
      <c r="J64" s="112">
        <f>SUMIF($C$4:$C$203,$I64,$E$4:$E$203)</f>
        <v/>
      </c>
      <c r="K64" s="113">
        <f>IFERROR($J64/$J$12,0)</f>
        <v/>
      </c>
    </row>
    <row r="65" ht="15.75" customHeight="1" s="52">
      <c r="A65" s="114" t="n"/>
      <c r="B65" s="76" t="n"/>
      <c r="C65" s="76" t="n"/>
      <c r="D65" s="109">
        <f t="array" ref="D65:D65">IFERROR(INDEX(GroupLookup,MATCH(C65,CategoryList,0)),"")</f>
        <v/>
      </c>
      <c r="E65" s="112" t="n"/>
      <c r="F65" s="76" t="n"/>
      <c r="G65" s="76" t="n"/>
      <c r="I65" s="75" t="inlineStr">
        <is>
          <t>পোশাক ও জুতা</t>
        </is>
      </c>
      <c r="J65" s="110">
        <f>SUMIF($C$4:$C$203,$I65,$E$4:$E$203)</f>
        <v/>
      </c>
      <c r="K65" s="111">
        <f>IFERROR($J65/$J$12,0)</f>
        <v/>
      </c>
    </row>
    <row r="66" ht="15.75" customHeight="1" s="52">
      <c r="A66" s="108" t="n"/>
      <c r="B66" s="75" t="n"/>
      <c r="C66" s="75" t="n"/>
      <c r="D66" s="109">
        <f t="array" ref="D66:D66">IFERROR(INDEX(GroupLookup,MATCH(C66,CategoryList,0)),"")</f>
        <v/>
      </c>
      <c r="E66" s="110" t="n"/>
      <c r="F66" s="75" t="n"/>
      <c r="G66" s="75" t="n"/>
      <c r="I66" s="76" t="inlineStr">
        <is>
          <t>প্রসাধনী ও পরিচর্যা</t>
        </is>
      </c>
      <c r="J66" s="112">
        <f>SUMIF($C$4:$C$203,$I66,$E$4:$E$203)</f>
        <v/>
      </c>
      <c r="K66" s="113">
        <f>IFERROR($J66/$J$12,0)</f>
        <v/>
      </c>
    </row>
    <row r="67" ht="15.75" customHeight="1" s="52">
      <c r="A67" s="114" t="n"/>
      <c r="B67" s="76" t="n"/>
      <c r="C67" s="76" t="n"/>
      <c r="D67" s="109">
        <f t="array" ref="D67:D67">IFERROR(INDEX(GroupLookup,MATCH(C67,CategoryList,0)),"")</f>
        <v/>
      </c>
      <c r="E67" s="112" t="n"/>
      <c r="F67" s="76" t="n"/>
      <c r="G67" s="76" t="n"/>
      <c r="I67" s="75" t="inlineStr">
        <is>
          <t>সাবান ও ডিটারজেন্ট</t>
        </is>
      </c>
      <c r="J67" s="110">
        <f>SUMIF($C$4:$C$203,$I67,$E$4:$E$203)</f>
        <v/>
      </c>
      <c r="K67" s="111">
        <f>IFERROR($J67/$J$12,0)</f>
        <v/>
      </c>
    </row>
    <row r="68" ht="15.75" customHeight="1" s="52">
      <c r="A68" s="108" t="n"/>
      <c r="B68" s="75" t="n"/>
      <c r="C68" s="75" t="n"/>
      <c r="D68" s="109">
        <f t="array" ref="D68:D68">IFERROR(INDEX(GroupLookup,MATCH(C68,CategoryList,0)),"")</f>
        <v/>
      </c>
      <c r="E68" s="110" t="n"/>
      <c r="F68" s="75" t="n"/>
      <c r="G68" s="75" t="n"/>
      <c r="I68" s="76" t="inlineStr">
        <is>
          <t>গৃহস্থালি সামগ্রী</t>
        </is>
      </c>
      <c r="J68" s="112">
        <f>SUMIF($C$4:$C$203,$I68,$E$4:$E$203)</f>
        <v/>
      </c>
      <c r="K68" s="113">
        <f>IFERROR($J68/$J$12,0)</f>
        <v/>
      </c>
    </row>
    <row r="69" ht="15.75" customHeight="1" s="52">
      <c r="A69" s="114" t="n"/>
      <c r="B69" s="76" t="n"/>
      <c r="C69" s="76" t="n"/>
      <c r="D69" s="109">
        <f t="array" ref="D69:D69">IFERROR(INDEX(GroupLookup,MATCH(C69,CategoryList,0)),"")</f>
        <v/>
      </c>
      <c r="E69" s="112" t="n"/>
      <c r="F69" s="76" t="n"/>
      <c r="G69" s="76" t="n"/>
      <c r="I69" s="75" t="inlineStr">
        <is>
          <t>সেলুন / পার্লার</t>
        </is>
      </c>
      <c r="J69" s="110">
        <f>SUMIF($C$4:$C$203,$I69,$E$4:$E$203)</f>
        <v/>
      </c>
      <c r="K69" s="111">
        <f>IFERROR($J69/$J$12,0)</f>
        <v/>
      </c>
    </row>
    <row r="70" ht="15.75" customHeight="1" s="52">
      <c r="A70" s="108" t="n"/>
      <c r="B70" s="75" t="n"/>
      <c r="C70" s="75" t="n"/>
      <c r="D70" s="109">
        <f t="array" ref="D70:D70">IFERROR(INDEX(GroupLookup,MATCH(C70,CategoryList,0)),"")</f>
        <v/>
      </c>
      <c r="E70" s="110" t="n"/>
      <c r="F70" s="75" t="n"/>
      <c r="G70" s="75" t="n"/>
      <c r="I70" s="76" t="inlineStr">
        <is>
          <t>বিনোদন ও ঘোরাঘুরি</t>
        </is>
      </c>
      <c r="J70" s="112">
        <f>SUMIF($C$4:$C$203,$I70,$E$4:$E$203)</f>
        <v/>
      </c>
      <c r="K70" s="113">
        <f>IFERROR($J70/$J$12,0)</f>
        <v/>
      </c>
    </row>
    <row r="71" ht="15.75" customHeight="1" s="52">
      <c r="A71" s="114" t="n"/>
      <c r="B71" s="76" t="n"/>
      <c r="C71" s="76" t="n"/>
      <c r="D71" s="109">
        <f t="array" ref="D71:D71">IFERROR(INDEX(GroupLookup,MATCH(C71,CategoryList,0)),"")</f>
        <v/>
      </c>
      <c r="E71" s="112" t="n"/>
      <c r="F71" s="76" t="n"/>
      <c r="G71" s="76" t="n"/>
      <c r="I71" s="75" t="inlineStr">
        <is>
          <t>উপহার ও অনুষ্ঠান</t>
        </is>
      </c>
      <c r="J71" s="110">
        <f>SUMIF($C$4:$C$203,$I71,$E$4:$E$203)</f>
        <v/>
      </c>
      <c r="K71" s="111">
        <f>IFERROR($J71/$J$12,0)</f>
        <v/>
      </c>
    </row>
    <row r="72" ht="15.75" customHeight="1" s="52">
      <c r="A72" s="108" t="n"/>
      <c r="B72" s="75" t="n"/>
      <c r="C72" s="75" t="n"/>
      <c r="D72" s="109">
        <f t="array" ref="D72:D72">IFERROR(INDEX(GroupLookup,MATCH(C72,CategoryList,0)),"")</f>
        <v/>
      </c>
      <c r="E72" s="110" t="n"/>
      <c r="F72" s="75" t="n"/>
      <c r="G72" s="75" t="n"/>
      <c r="I72" s="76" t="inlineStr">
        <is>
          <t>দান ও যাকাত</t>
        </is>
      </c>
      <c r="J72" s="112">
        <f>SUMIF($C$4:$C$203,$I72,$E$4:$E$203)</f>
        <v/>
      </c>
      <c r="K72" s="113">
        <f>IFERROR($J72/$J$12,0)</f>
        <v/>
      </c>
    </row>
    <row r="73" ht="15.75" customHeight="1" s="52">
      <c r="A73" s="114" t="n"/>
      <c r="B73" s="76" t="n"/>
      <c r="C73" s="76" t="n"/>
      <c r="D73" s="109">
        <f t="array" ref="D73:D73">IFERROR(INDEX(GroupLookup,MATCH(C73,CategoryList,0)),"")</f>
        <v/>
      </c>
      <c r="E73" s="112" t="n"/>
      <c r="F73" s="76" t="n"/>
      <c r="G73" s="76" t="n"/>
      <c r="I73" s="75" t="inlineStr">
        <is>
          <t>সঞ্চয় ও বিনিয়োগ</t>
        </is>
      </c>
      <c r="J73" s="110">
        <f>SUMIF($C$4:$C$203,$I73,$E$4:$E$203)</f>
        <v/>
      </c>
      <c r="K73" s="111">
        <f>IFERROR($J73/$J$12,0)</f>
        <v/>
      </c>
    </row>
    <row r="74" ht="15.75" customHeight="1" s="52">
      <c r="A74" s="108" t="n"/>
      <c r="B74" s="75" t="n"/>
      <c r="C74" s="75" t="n"/>
      <c r="D74" s="109">
        <f t="array" ref="D74:D74">IFERROR(INDEX(GroupLookup,MATCH(C74,CategoryList,0)),"")</f>
        <v/>
      </c>
      <c r="E74" s="110" t="n"/>
      <c r="F74" s="75" t="n"/>
      <c r="G74" s="75" t="n"/>
      <c r="I74" s="76" t="inlineStr">
        <is>
          <t>ঋণ পরিশোধ / কিস্তি</t>
        </is>
      </c>
      <c r="J74" s="112">
        <f>SUMIF($C$4:$C$203,$I74,$E$4:$E$203)</f>
        <v/>
      </c>
      <c r="K74" s="113">
        <f>IFERROR($J74/$J$12,0)</f>
        <v/>
      </c>
    </row>
    <row r="75" ht="15.75" customHeight="1" s="52">
      <c r="A75" s="114" t="n"/>
      <c r="B75" s="76" t="n"/>
      <c r="C75" s="76" t="n"/>
      <c r="D75" s="109">
        <f t="array" ref="D75:D75">IFERROR(INDEX(GroupLookup,MATCH(C75,CategoryList,0)),"")</f>
        <v/>
      </c>
      <c r="E75" s="112" t="n"/>
      <c r="F75" s="76" t="n"/>
      <c r="G75" s="76" t="n"/>
      <c r="I75" s="75" t="inlineStr">
        <is>
          <t>বীমা প্রিমিয়াম</t>
        </is>
      </c>
      <c r="J75" s="110">
        <f>SUMIF($C$4:$C$203,$I75,$E$4:$E$203)</f>
        <v/>
      </c>
      <c r="K75" s="111">
        <f>IFERROR($J75/$J$12,0)</f>
        <v/>
      </c>
    </row>
    <row r="76" ht="15.75" customHeight="1" s="52">
      <c r="A76" s="108" t="n"/>
      <c r="B76" s="75" t="n"/>
      <c r="C76" s="75" t="n"/>
      <c r="D76" s="109">
        <f t="array" ref="D76:D76">IFERROR(INDEX(GroupLookup,MATCH(C76,CategoryList,0)),"")</f>
        <v/>
      </c>
      <c r="E76" s="110" t="n"/>
      <c r="F76" s="75" t="n"/>
      <c r="G76" s="75" t="n"/>
      <c r="I76" s="76" t="inlineStr">
        <is>
          <t>অন্যান্য খরচ</t>
        </is>
      </c>
      <c r="J76" s="112">
        <f>SUMIF($C$4:$C$203,$I76,$E$4:$E$203)</f>
        <v/>
      </c>
      <c r="K76" s="113">
        <f>IFERROR($J76/$J$12,0)</f>
        <v/>
      </c>
    </row>
    <row r="77" ht="15.75" customHeight="1" s="52">
      <c r="A77" s="114" t="n"/>
      <c r="B77" s="76" t="n"/>
      <c r="C77" s="76" t="n"/>
      <c r="D77" s="109">
        <f t="array" ref="D77:D77">IFERROR(INDEX(GroupLookup,MATCH(C77,CategoryList,0)),"")</f>
        <v/>
      </c>
      <c r="E77" s="112" t="n"/>
      <c r="F77" s="76" t="n"/>
      <c r="G77" s="76" t="n"/>
      <c r="I77" s="72" t="inlineStr">
        <is>
          <t>সর্বমোট</t>
        </is>
      </c>
      <c r="J77" s="117">
        <f>SUM($J$23:$J$76)</f>
        <v/>
      </c>
      <c r="K77" s="118">
        <f>IFERROR($J$77/$J$12,0)</f>
        <v/>
      </c>
    </row>
    <row r="78" ht="15.75" customHeight="1" s="52">
      <c r="A78" s="108" t="n"/>
      <c r="B78" s="75" t="n"/>
      <c r="C78" s="75" t="n"/>
      <c r="D78" s="109">
        <f t="array" ref="D78:D78">IFERROR(INDEX(GroupLookup,MATCH(C78,CategoryList,0)),"")</f>
        <v/>
      </c>
      <c r="E78" s="110" t="n"/>
      <c r="F78" s="75" t="n"/>
      <c r="G78" s="75" t="n"/>
    </row>
    <row r="79" ht="15.75" customHeight="1" s="52">
      <c r="A79" s="114" t="n"/>
      <c r="B79" s="76" t="n"/>
      <c r="C79" s="76" t="n"/>
      <c r="D79" s="109">
        <f t="array" ref="D79:D79">IFERROR(INDEX(GroupLookup,MATCH(C79,CategoryList,0)),"")</f>
        <v/>
      </c>
      <c r="E79" s="112" t="n"/>
      <c r="F79" s="76" t="n"/>
      <c r="G79" s="76" t="n"/>
    </row>
    <row r="80" ht="15.75" customHeight="1" s="52">
      <c r="A80" s="108" t="n"/>
      <c r="B80" s="75" t="n"/>
      <c r="C80" s="75" t="n"/>
      <c r="D80" s="109">
        <f t="array" ref="D80:D80">IFERROR(INDEX(GroupLookup,MATCH(C80,CategoryList,0)),"")</f>
        <v/>
      </c>
      <c r="E80" s="110" t="n"/>
      <c r="F80" s="75" t="n"/>
      <c r="G80" s="75" t="n"/>
    </row>
    <row r="81" ht="15.75" customHeight="1" s="52">
      <c r="A81" s="114" t="n"/>
      <c r="B81" s="76" t="n"/>
      <c r="C81" s="76" t="n"/>
      <c r="D81" s="109">
        <f t="array" ref="D81:D81">IFERROR(INDEX(GroupLookup,MATCH(C81,CategoryList,0)),"")</f>
        <v/>
      </c>
      <c r="E81" s="112" t="n"/>
      <c r="F81" s="76" t="n"/>
      <c r="G81" s="76" t="n"/>
    </row>
    <row r="82" ht="15.75" customHeight="1" s="52">
      <c r="A82" s="108" t="n"/>
      <c r="B82" s="75" t="n"/>
      <c r="C82" s="75" t="n"/>
      <c r="D82" s="109">
        <f t="array" ref="D82:D82">IFERROR(INDEX(GroupLookup,MATCH(C82,CategoryList,0)),"")</f>
        <v/>
      </c>
      <c r="E82" s="110" t="n"/>
      <c r="F82" s="75" t="n"/>
      <c r="G82" s="75" t="n"/>
    </row>
    <row r="83" ht="15.75" customHeight="1" s="52">
      <c r="A83" s="114" t="n"/>
      <c r="B83" s="76" t="n"/>
      <c r="C83" s="76" t="n"/>
      <c r="D83" s="109">
        <f t="array" ref="D83:D83">IFERROR(INDEX(GroupLookup,MATCH(C83,CategoryList,0)),"")</f>
        <v/>
      </c>
      <c r="E83" s="112" t="n"/>
      <c r="F83" s="76" t="n"/>
      <c r="G83" s="76" t="n"/>
    </row>
    <row r="84" ht="15.75" customHeight="1" s="52">
      <c r="A84" s="108" t="n"/>
      <c r="B84" s="75" t="n"/>
      <c r="C84" s="75" t="n"/>
      <c r="D84" s="109">
        <f t="array" ref="D84:D84">IFERROR(INDEX(GroupLookup,MATCH(C84,CategoryList,0)),"")</f>
        <v/>
      </c>
      <c r="E84" s="110" t="n"/>
      <c r="F84" s="75" t="n"/>
      <c r="G84" s="75" t="n"/>
    </row>
    <row r="85" ht="15.75" customHeight="1" s="52">
      <c r="A85" s="114" t="n"/>
      <c r="B85" s="76" t="n"/>
      <c r="C85" s="76" t="n"/>
      <c r="D85" s="109">
        <f t="array" ref="D85:D85">IFERROR(INDEX(GroupLookup,MATCH(C85,CategoryList,0)),"")</f>
        <v/>
      </c>
      <c r="E85" s="112" t="n"/>
      <c r="F85" s="76" t="n"/>
      <c r="G85" s="76" t="n"/>
    </row>
    <row r="86" ht="15.75" customHeight="1" s="52">
      <c r="A86" s="108" t="n"/>
      <c r="B86" s="75" t="n"/>
      <c r="C86" s="75" t="n"/>
      <c r="D86" s="109">
        <f t="array" ref="D86:D86">IFERROR(INDEX(GroupLookup,MATCH(C86,CategoryList,0)),"")</f>
        <v/>
      </c>
      <c r="E86" s="110" t="n"/>
      <c r="F86" s="75" t="n"/>
      <c r="G86" s="75" t="n"/>
    </row>
    <row r="87" ht="15.75" customHeight="1" s="52">
      <c r="A87" s="114" t="n"/>
      <c r="B87" s="76" t="n"/>
      <c r="C87" s="76" t="n"/>
      <c r="D87" s="109">
        <f t="array" ref="D87:D87">IFERROR(INDEX(GroupLookup,MATCH(C87,CategoryList,0)),"")</f>
        <v/>
      </c>
      <c r="E87" s="112" t="n"/>
      <c r="F87" s="76" t="n"/>
      <c r="G87" s="76" t="n"/>
    </row>
    <row r="88" ht="15.75" customHeight="1" s="52">
      <c r="A88" s="108" t="n"/>
      <c r="B88" s="75" t="n"/>
      <c r="C88" s="75" t="n"/>
      <c r="D88" s="109">
        <f t="array" ref="D88:D88">IFERROR(INDEX(GroupLookup,MATCH(C88,CategoryList,0)),"")</f>
        <v/>
      </c>
      <c r="E88" s="110" t="n"/>
      <c r="F88" s="75" t="n"/>
      <c r="G88" s="75" t="n"/>
    </row>
    <row r="89" ht="15.75" customHeight="1" s="52">
      <c r="A89" s="114" t="n"/>
      <c r="B89" s="76" t="n"/>
      <c r="C89" s="76" t="n"/>
      <c r="D89" s="109">
        <f t="array" ref="D89:D89">IFERROR(INDEX(GroupLookup,MATCH(C89,CategoryList,0)),"")</f>
        <v/>
      </c>
      <c r="E89" s="112" t="n"/>
      <c r="F89" s="76" t="n"/>
      <c r="G89" s="76" t="n"/>
    </row>
    <row r="90" ht="15.75" customHeight="1" s="52">
      <c r="A90" s="108" t="n"/>
      <c r="B90" s="75" t="n"/>
      <c r="C90" s="75" t="n"/>
      <c r="D90" s="109">
        <f t="array" ref="D90:D90">IFERROR(INDEX(GroupLookup,MATCH(C90,CategoryList,0)),"")</f>
        <v/>
      </c>
      <c r="E90" s="110" t="n"/>
      <c r="F90" s="75" t="n"/>
      <c r="G90" s="75" t="n"/>
    </row>
    <row r="91" ht="15.75" customHeight="1" s="52">
      <c r="A91" s="114" t="n"/>
      <c r="B91" s="76" t="n"/>
      <c r="C91" s="76" t="n"/>
      <c r="D91" s="109">
        <f t="array" ref="D91:D91">IFERROR(INDEX(GroupLookup,MATCH(C91,CategoryList,0)),"")</f>
        <v/>
      </c>
      <c r="E91" s="112" t="n"/>
      <c r="F91" s="76" t="n"/>
      <c r="G91" s="76" t="n"/>
    </row>
    <row r="92" ht="15.75" customHeight="1" s="52">
      <c r="A92" s="108" t="n"/>
      <c r="B92" s="75" t="n"/>
      <c r="C92" s="75" t="n"/>
      <c r="D92" s="109">
        <f t="array" ref="D92:D92">IFERROR(INDEX(GroupLookup,MATCH(C92,CategoryList,0)),"")</f>
        <v/>
      </c>
      <c r="E92" s="110" t="n"/>
      <c r="F92" s="75" t="n"/>
      <c r="G92" s="75" t="n"/>
    </row>
    <row r="93" ht="15.75" customHeight="1" s="52">
      <c r="A93" s="114" t="n"/>
      <c r="B93" s="76" t="n"/>
      <c r="C93" s="76" t="n"/>
      <c r="D93" s="109">
        <f t="array" ref="D93:D93">IFERROR(INDEX(GroupLookup,MATCH(C93,CategoryList,0)),"")</f>
        <v/>
      </c>
      <c r="E93" s="112" t="n"/>
      <c r="F93" s="76" t="n"/>
      <c r="G93" s="76" t="n"/>
    </row>
    <row r="94" ht="15.75" customHeight="1" s="52">
      <c r="A94" s="108" t="n"/>
      <c r="B94" s="75" t="n"/>
      <c r="C94" s="75" t="n"/>
      <c r="D94" s="109">
        <f t="array" ref="D94:D94">IFERROR(INDEX(GroupLookup,MATCH(C94,CategoryList,0)),"")</f>
        <v/>
      </c>
      <c r="E94" s="110" t="n"/>
      <c r="F94" s="75" t="n"/>
      <c r="G94" s="75" t="n"/>
    </row>
    <row r="95" ht="15.75" customHeight="1" s="52">
      <c r="A95" s="114" t="n"/>
      <c r="B95" s="76" t="n"/>
      <c r="C95" s="76" t="n"/>
      <c r="D95" s="109">
        <f t="array" ref="D95:D95">IFERROR(INDEX(GroupLookup,MATCH(C95,CategoryList,0)),"")</f>
        <v/>
      </c>
      <c r="E95" s="112" t="n"/>
      <c r="F95" s="76" t="n"/>
      <c r="G95" s="76" t="n"/>
    </row>
    <row r="96" ht="15.75" customHeight="1" s="52">
      <c r="A96" s="108" t="n"/>
      <c r="B96" s="75" t="n"/>
      <c r="C96" s="75" t="n"/>
      <c r="D96" s="109">
        <f t="array" ref="D96:D96">IFERROR(INDEX(GroupLookup,MATCH(C96,CategoryList,0)),"")</f>
        <v/>
      </c>
      <c r="E96" s="110" t="n"/>
      <c r="F96" s="75" t="n"/>
      <c r="G96" s="75" t="n"/>
    </row>
    <row r="97" ht="15.75" customHeight="1" s="52">
      <c r="A97" s="114" t="n"/>
      <c r="B97" s="76" t="n"/>
      <c r="C97" s="76" t="n"/>
      <c r="D97" s="109">
        <f t="array" ref="D97:D97">IFERROR(INDEX(GroupLookup,MATCH(C97,CategoryList,0)),"")</f>
        <v/>
      </c>
      <c r="E97" s="112" t="n"/>
      <c r="F97" s="76" t="n"/>
      <c r="G97" s="76" t="n"/>
    </row>
    <row r="98" ht="15.75" customHeight="1" s="52">
      <c r="A98" s="108" t="n"/>
      <c r="B98" s="75" t="n"/>
      <c r="C98" s="75" t="n"/>
      <c r="D98" s="109">
        <f t="array" ref="D98:D98">IFERROR(INDEX(GroupLookup,MATCH(C98,CategoryList,0)),"")</f>
        <v/>
      </c>
      <c r="E98" s="110" t="n"/>
      <c r="F98" s="75" t="n"/>
      <c r="G98" s="75" t="n"/>
    </row>
    <row r="99" ht="15.75" customHeight="1" s="52">
      <c r="A99" s="114" t="n"/>
      <c r="B99" s="76" t="n"/>
      <c r="C99" s="76" t="n"/>
      <c r="D99" s="109">
        <f t="array" ref="D99:D99">IFERROR(INDEX(GroupLookup,MATCH(C99,CategoryList,0)),"")</f>
        <v/>
      </c>
      <c r="E99" s="112" t="n"/>
      <c r="F99" s="76" t="n"/>
      <c r="G99" s="76" t="n"/>
    </row>
    <row r="100" ht="15.75" customHeight="1" s="52">
      <c r="A100" s="108" t="n"/>
      <c r="B100" s="75" t="n"/>
      <c r="C100" s="75" t="n"/>
      <c r="D100" s="109">
        <f t="array" ref="D100:D100">IFERROR(INDEX(GroupLookup,MATCH(C100,CategoryList,0)),"")</f>
        <v/>
      </c>
      <c r="E100" s="110" t="n"/>
      <c r="F100" s="75" t="n"/>
      <c r="G100" s="75" t="n"/>
    </row>
    <row r="101" ht="15.75" customHeight="1" s="52">
      <c r="A101" s="114" t="n"/>
      <c r="B101" s="76" t="n"/>
      <c r="C101" s="76" t="n"/>
      <c r="D101" s="109">
        <f t="array" ref="D101:D101">IFERROR(INDEX(GroupLookup,MATCH(C101,CategoryList,0)),"")</f>
        <v/>
      </c>
      <c r="E101" s="112" t="n"/>
      <c r="F101" s="76" t="n"/>
      <c r="G101" s="76" t="n"/>
    </row>
    <row r="102" ht="15.75" customHeight="1" s="52">
      <c r="A102" s="108" t="n"/>
      <c r="B102" s="75" t="n"/>
      <c r="C102" s="75" t="n"/>
      <c r="D102" s="109">
        <f t="array" ref="D102:D102">IFERROR(INDEX(GroupLookup,MATCH(C102,CategoryList,0)),"")</f>
        <v/>
      </c>
      <c r="E102" s="110" t="n"/>
      <c r="F102" s="75" t="n"/>
      <c r="G102" s="75" t="n"/>
    </row>
    <row r="103" ht="15.75" customHeight="1" s="52">
      <c r="A103" s="114" t="n"/>
      <c r="B103" s="76" t="n"/>
      <c r="C103" s="76" t="n"/>
      <c r="D103" s="109">
        <f t="array" ref="D103:D103">IFERROR(INDEX(GroupLookup,MATCH(C103,CategoryList,0)),"")</f>
        <v/>
      </c>
      <c r="E103" s="112" t="n"/>
      <c r="F103" s="76" t="n"/>
      <c r="G103" s="76" t="n"/>
    </row>
    <row r="104" ht="15.75" customHeight="1" s="52">
      <c r="A104" s="108" t="n"/>
      <c r="B104" s="75" t="n"/>
      <c r="C104" s="75" t="n"/>
      <c r="D104" s="109">
        <f t="array" ref="D104:D104">IFERROR(INDEX(GroupLookup,MATCH(C104,CategoryList,0)),"")</f>
        <v/>
      </c>
      <c r="E104" s="110" t="n"/>
      <c r="F104" s="75" t="n"/>
      <c r="G104" s="75" t="n"/>
    </row>
    <row r="105" ht="15.75" customHeight="1" s="52">
      <c r="A105" s="114" t="n"/>
      <c r="B105" s="76" t="n"/>
      <c r="C105" s="76" t="n"/>
      <c r="D105" s="109">
        <f t="array" ref="D105:D105">IFERROR(INDEX(GroupLookup,MATCH(C105,CategoryList,0)),"")</f>
        <v/>
      </c>
      <c r="E105" s="112" t="n"/>
      <c r="F105" s="76" t="n"/>
      <c r="G105" s="76" t="n"/>
    </row>
    <row r="106" ht="15.75" customHeight="1" s="52">
      <c r="A106" s="108" t="n"/>
      <c r="B106" s="75" t="n"/>
      <c r="C106" s="75" t="n"/>
      <c r="D106" s="109">
        <f t="array" ref="D106:D106">IFERROR(INDEX(GroupLookup,MATCH(C106,CategoryList,0)),"")</f>
        <v/>
      </c>
      <c r="E106" s="110" t="n"/>
      <c r="F106" s="75" t="n"/>
      <c r="G106" s="75" t="n"/>
    </row>
    <row r="107" ht="15.75" customHeight="1" s="52">
      <c r="A107" s="114" t="n"/>
      <c r="B107" s="76" t="n"/>
      <c r="C107" s="76" t="n"/>
      <c r="D107" s="109">
        <f t="array" ref="D107:D107">IFERROR(INDEX(GroupLookup,MATCH(C107,CategoryList,0)),"")</f>
        <v/>
      </c>
      <c r="E107" s="112" t="n"/>
      <c r="F107" s="76" t="n"/>
      <c r="G107" s="76" t="n"/>
    </row>
    <row r="108" ht="15.75" customHeight="1" s="52">
      <c r="A108" s="108" t="n"/>
      <c r="B108" s="75" t="n"/>
      <c r="C108" s="75" t="n"/>
      <c r="D108" s="109">
        <f t="array" ref="D108:D108">IFERROR(INDEX(GroupLookup,MATCH(C108,CategoryList,0)),"")</f>
        <v/>
      </c>
      <c r="E108" s="110" t="n"/>
      <c r="F108" s="75" t="n"/>
      <c r="G108" s="75" t="n"/>
    </row>
    <row r="109" ht="15.75" customHeight="1" s="52">
      <c r="A109" s="114" t="n"/>
      <c r="B109" s="76" t="n"/>
      <c r="C109" s="76" t="n"/>
      <c r="D109" s="109">
        <f t="array" ref="D109:D109">IFERROR(INDEX(GroupLookup,MATCH(C109,CategoryList,0)),"")</f>
        <v/>
      </c>
      <c r="E109" s="112" t="n"/>
      <c r="F109" s="76" t="n"/>
      <c r="G109" s="76" t="n"/>
    </row>
    <row r="110" ht="15.75" customHeight="1" s="52">
      <c r="A110" s="108" t="n"/>
      <c r="B110" s="75" t="n"/>
      <c r="C110" s="75" t="n"/>
      <c r="D110" s="109">
        <f t="array" ref="D110:D110">IFERROR(INDEX(GroupLookup,MATCH(C110,CategoryList,0)),"")</f>
        <v/>
      </c>
      <c r="E110" s="110" t="n"/>
      <c r="F110" s="75" t="n"/>
      <c r="G110" s="75" t="n"/>
    </row>
    <row r="111" ht="15.75" customHeight="1" s="52">
      <c r="A111" s="114" t="n"/>
      <c r="B111" s="76" t="n"/>
      <c r="C111" s="76" t="n"/>
      <c r="D111" s="109">
        <f t="array" ref="D111:D111">IFERROR(INDEX(GroupLookup,MATCH(C111,CategoryList,0)),"")</f>
        <v/>
      </c>
      <c r="E111" s="112" t="n"/>
      <c r="F111" s="76" t="n"/>
      <c r="G111" s="76" t="n"/>
    </row>
    <row r="112" ht="15.75" customHeight="1" s="52">
      <c r="A112" s="108" t="n"/>
      <c r="B112" s="75" t="n"/>
      <c r="C112" s="75" t="n"/>
      <c r="D112" s="109">
        <f t="array" ref="D112:D112">IFERROR(INDEX(GroupLookup,MATCH(C112,CategoryList,0)),"")</f>
        <v/>
      </c>
      <c r="E112" s="110" t="n"/>
      <c r="F112" s="75" t="n"/>
      <c r="G112" s="75" t="n"/>
    </row>
    <row r="113" ht="15.75" customHeight="1" s="52">
      <c r="A113" s="114" t="n"/>
      <c r="B113" s="76" t="n"/>
      <c r="C113" s="76" t="n"/>
      <c r="D113" s="109">
        <f t="array" ref="D113:D113">IFERROR(INDEX(GroupLookup,MATCH(C113,CategoryList,0)),"")</f>
        <v/>
      </c>
      <c r="E113" s="112" t="n"/>
      <c r="F113" s="76" t="n"/>
      <c r="G113" s="76" t="n"/>
    </row>
    <row r="114" ht="15.75" customHeight="1" s="52">
      <c r="A114" s="108" t="n"/>
      <c r="B114" s="75" t="n"/>
      <c r="C114" s="75" t="n"/>
      <c r="D114" s="109">
        <f t="array" ref="D114:D114">IFERROR(INDEX(GroupLookup,MATCH(C114,CategoryList,0)),"")</f>
        <v/>
      </c>
      <c r="E114" s="110" t="n"/>
      <c r="F114" s="75" t="n"/>
      <c r="G114" s="75" t="n"/>
    </row>
    <row r="115" ht="15.75" customHeight="1" s="52">
      <c r="A115" s="114" t="n"/>
      <c r="B115" s="76" t="n"/>
      <c r="C115" s="76" t="n"/>
      <c r="D115" s="109">
        <f t="array" ref="D115:D115">IFERROR(INDEX(GroupLookup,MATCH(C115,CategoryList,0)),"")</f>
        <v/>
      </c>
      <c r="E115" s="112" t="n"/>
      <c r="F115" s="76" t="n"/>
      <c r="G115" s="76" t="n"/>
    </row>
    <row r="116" ht="15.75" customHeight="1" s="52">
      <c r="A116" s="108" t="n"/>
      <c r="B116" s="75" t="n"/>
      <c r="C116" s="75" t="n"/>
      <c r="D116" s="109">
        <f t="array" ref="D116:D116">IFERROR(INDEX(GroupLookup,MATCH(C116,CategoryList,0)),"")</f>
        <v/>
      </c>
      <c r="E116" s="110" t="n"/>
      <c r="F116" s="75" t="n"/>
      <c r="G116" s="75" t="n"/>
    </row>
    <row r="117" ht="15.75" customHeight="1" s="52">
      <c r="A117" s="114" t="n"/>
      <c r="B117" s="76" t="n"/>
      <c r="C117" s="76" t="n"/>
      <c r="D117" s="109">
        <f t="array" ref="D117:D117">IFERROR(INDEX(GroupLookup,MATCH(C117,CategoryList,0)),"")</f>
        <v/>
      </c>
      <c r="E117" s="112" t="n"/>
      <c r="F117" s="76" t="n"/>
      <c r="G117" s="76" t="n"/>
    </row>
    <row r="118" ht="15.75" customHeight="1" s="52">
      <c r="A118" s="108" t="n"/>
      <c r="B118" s="75" t="n"/>
      <c r="C118" s="75" t="n"/>
      <c r="D118" s="109">
        <f t="array" ref="D118:D118">IFERROR(INDEX(GroupLookup,MATCH(C118,CategoryList,0)),"")</f>
        <v/>
      </c>
      <c r="E118" s="110" t="n"/>
      <c r="F118" s="75" t="n"/>
      <c r="G118" s="75" t="n"/>
    </row>
    <row r="119" ht="15.75" customHeight="1" s="52">
      <c r="A119" s="114" t="n"/>
      <c r="B119" s="76" t="n"/>
      <c r="C119" s="76" t="n"/>
      <c r="D119" s="109">
        <f t="array" ref="D119:D119">IFERROR(INDEX(GroupLookup,MATCH(C119,CategoryList,0)),"")</f>
        <v/>
      </c>
      <c r="E119" s="112" t="n"/>
      <c r="F119" s="76" t="n"/>
      <c r="G119" s="76" t="n"/>
    </row>
    <row r="120" ht="15.75" customHeight="1" s="52">
      <c r="A120" s="108" t="n"/>
      <c r="B120" s="75" t="n"/>
      <c r="C120" s="75" t="n"/>
      <c r="D120" s="109">
        <f t="array" ref="D120:D120">IFERROR(INDEX(GroupLookup,MATCH(C120,CategoryList,0)),"")</f>
        <v/>
      </c>
      <c r="E120" s="110" t="n"/>
      <c r="F120" s="75" t="n"/>
      <c r="G120" s="75" t="n"/>
    </row>
    <row r="121" ht="15.75" customHeight="1" s="52">
      <c r="A121" s="114" t="n"/>
      <c r="B121" s="76" t="n"/>
      <c r="C121" s="76" t="n"/>
      <c r="D121" s="109">
        <f t="array" ref="D121:D121">IFERROR(INDEX(GroupLookup,MATCH(C121,CategoryList,0)),"")</f>
        <v/>
      </c>
      <c r="E121" s="112" t="n"/>
      <c r="F121" s="76" t="n"/>
      <c r="G121" s="76" t="n"/>
    </row>
    <row r="122" ht="15.75" customHeight="1" s="52">
      <c r="A122" s="108" t="n"/>
      <c r="B122" s="75" t="n"/>
      <c r="C122" s="75" t="n"/>
      <c r="D122" s="109">
        <f t="array" ref="D122:D122">IFERROR(INDEX(GroupLookup,MATCH(C122,CategoryList,0)),"")</f>
        <v/>
      </c>
      <c r="E122" s="110" t="n"/>
      <c r="F122" s="75" t="n"/>
      <c r="G122" s="75" t="n"/>
    </row>
    <row r="123" ht="15.75" customHeight="1" s="52">
      <c r="A123" s="114" t="n"/>
      <c r="B123" s="76" t="n"/>
      <c r="C123" s="76" t="n"/>
      <c r="D123" s="109">
        <f t="array" ref="D123:D123">IFERROR(INDEX(GroupLookup,MATCH(C123,CategoryList,0)),"")</f>
        <v/>
      </c>
      <c r="E123" s="112" t="n"/>
      <c r="F123" s="76" t="n"/>
      <c r="G123" s="76" t="n"/>
    </row>
    <row r="124" ht="15.75" customHeight="1" s="52">
      <c r="A124" s="108" t="n"/>
      <c r="B124" s="75" t="n"/>
      <c r="C124" s="75" t="n"/>
      <c r="D124" s="109">
        <f t="array" ref="D124:D124">IFERROR(INDEX(GroupLookup,MATCH(C124,CategoryList,0)),"")</f>
        <v/>
      </c>
      <c r="E124" s="110" t="n"/>
      <c r="F124" s="75" t="n"/>
      <c r="G124" s="75" t="n"/>
    </row>
    <row r="125" ht="15.75" customHeight="1" s="52">
      <c r="A125" s="114" t="n"/>
      <c r="B125" s="76" t="n"/>
      <c r="C125" s="76" t="n"/>
      <c r="D125" s="109">
        <f t="array" ref="D125:D125">IFERROR(INDEX(GroupLookup,MATCH(C125,CategoryList,0)),"")</f>
        <v/>
      </c>
      <c r="E125" s="112" t="n"/>
      <c r="F125" s="76" t="n"/>
      <c r="G125" s="76" t="n"/>
    </row>
    <row r="126" ht="15.75" customHeight="1" s="52">
      <c r="A126" s="108" t="n"/>
      <c r="B126" s="75" t="n"/>
      <c r="C126" s="75" t="n"/>
      <c r="D126" s="109">
        <f t="array" ref="D126:D126">IFERROR(INDEX(GroupLookup,MATCH(C126,CategoryList,0)),"")</f>
        <v/>
      </c>
      <c r="E126" s="110" t="n"/>
      <c r="F126" s="75" t="n"/>
      <c r="G126" s="75" t="n"/>
    </row>
    <row r="127" ht="15.75" customHeight="1" s="52">
      <c r="A127" s="114" t="n"/>
      <c r="B127" s="76" t="n"/>
      <c r="C127" s="76" t="n"/>
      <c r="D127" s="109">
        <f t="array" ref="D127:D127">IFERROR(INDEX(GroupLookup,MATCH(C127,CategoryList,0)),"")</f>
        <v/>
      </c>
      <c r="E127" s="112" t="n"/>
      <c r="F127" s="76" t="n"/>
      <c r="G127" s="76" t="n"/>
    </row>
    <row r="128" ht="15.75" customHeight="1" s="52">
      <c r="A128" s="108" t="n"/>
      <c r="B128" s="75" t="n"/>
      <c r="C128" s="75" t="n"/>
      <c r="D128" s="109">
        <f t="array" ref="D128:D128">IFERROR(INDEX(GroupLookup,MATCH(C128,CategoryList,0)),"")</f>
        <v/>
      </c>
      <c r="E128" s="110" t="n"/>
      <c r="F128" s="75" t="n"/>
      <c r="G128" s="75" t="n"/>
    </row>
    <row r="129" ht="15.75" customHeight="1" s="52">
      <c r="A129" s="114" t="n"/>
      <c r="B129" s="76" t="n"/>
      <c r="C129" s="76" t="n"/>
      <c r="D129" s="109">
        <f t="array" ref="D129:D129">IFERROR(INDEX(GroupLookup,MATCH(C129,CategoryList,0)),"")</f>
        <v/>
      </c>
      <c r="E129" s="112" t="n"/>
      <c r="F129" s="76" t="n"/>
      <c r="G129" s="76" t="n"/>
    </row>
    <row r="130" ht="15.75" customHeight="1" s="52">
      <c r="A130" s="108" t="n"/>
      <c r="B130" s="75" t="n"/>
      <c r="C130" s="75" t="n"/>
      <c r="D130" s="109">
        <f t="array" ref="D130:D130">IFERROR(INDEX(GroupLookup,MATCH(C130,CategoryList,0)),"")</f>
        <v/>
      </c>
      <c r="E130" s="110" t="n"/>
      <c r="F130" s="75" t="n"/>
      <c r="G130" s="75" t="n"/>
    </row>
    <row r="131" ht="15.75" customHeight="1" s="52">
      <c r="A131" s="114" t="n"/>
      <c r="B131" s="76" t="n"/>
      <c r="C131" s="76" t="n"/>
      <c r="D131" s="109">
        <f t="array" ref="D131:D131">IFERROR(INDEX(GroupLookup,MATCH(C131,CategoryList,0)),"")</f>
        <v/>
      </c>
      <c r="E131" s="112" t="n"/>
      <c r="F131" s="76" t="n"/>
      <c r="G131" s="76" t="n"/>
    </row>
    <row r="132" ht="15.75" customHeight="1" s="52">
      <c r="A132" s="108" t="n"/>
      <c r="B132" s="75" t="n"/>
      <c r="C132" s="75" t="n"/>
      <c r="D132" s="109">
        <f t="array" ref="D132:D132">IFERROR(INDEX(GroupLookup,MATCH(C132,CategoryList,0)),"")</f>
        <v/>
      </c>
      <c r="E132" s="110" t="n"/>
      <c r="F132" s="75" t="n"/>
      <c r="G132" s="75" t="n"/>
    </row>
    <row r="133" ht="15.75" customHeight="1" s="52">
      <c r="A133" s="114" t="n"/>
      <c r="B133" s="76" t="n"/>
      <c r="C133" s="76" t="n"/>
      <c r="D133" s="109">
        <f t="array" ref="D133:D133">IFERROR(INDEX(GroupLookup,MATCH(C133,CategoryList,0)),"")</f>
        <v/>
      </c>
      <c r="E133" s="112" t="n"/>
      <c r="F133" s="76" t="n"/>
      <c r="G133" s="76" t="n"/>
    </row>
    <row r="134" ht="15.75" customHeight="1" s="52">
      <c r="A134" s="108" t="n"/>
      <c r="B134" s="75" t="n"/>
      <c r="C134" s="75" t="n"/>
      <c r="D134" s="109">
        <f t="array" ref="D134:D134">IFERROR(INDEX(GroupLookup,MATCH(C134,CategoryList,0)),"")</f>
        <v/>
      </c>
      <c r="E134" s="110" t="n"/>
      <c r="F134" s="75" t="n"/>
      <c r="G134" s="75" t="n"/>
    </row>
    <row r="135" ht="15.75" customHeight="1" s="52">
      <c r="A135" s="114" t="n"/>
      <c r="B135" s="76" t="n"/>
      <c r="C135" s="76" t="n"/>
      <c r="D135" s="109">
        <f t="array" ref="D135:D135">IFERROR(INDEX(GroupLookup,MATCH(C135,CategoryList,0)),"")</f>
        <v/>
      </c>
      <c r="E135" s="112" t="n"/>
      <c r="F135" s="76" t="n"/>
      <c r="G135" s="76" t="n"/>
    </row>
    <row r="136" ht="15.75" customHeight="1" s="52">
      <c r="A136" s="108" t="n"/>
      <c r="B136" s="75" t="n"/>
      <c r="C136" s="75" t="n"/>
      <c r="D136" s="109">
        <f t="array" ref="D136:D136">IFERROR(INDEX(GroupLookup,MATCH(C136,CategoryList,0)),"")</f>
        <v/>
      </c>
      <c r="E136" s="110" t="n"/>
      <c r="F136" s="75" t="n"/>
      <c r="G136" s="75" t="n"/>
    </row>
    <row r="137" ht="15.75" customHeight="1" s="52">
      <c r="A137" s="114" t="n"/>
      <c r="B137" s="76" t="n"/>
      <c r="C137" s="76" t="n"/>
      <c r="D137" s="109">
        <f t="array" ref="D137:D137">IFERROR(INDEX(GroupLookup,MATCH(C137,CategoryList,0)),"")</f>
        <v/>
      </c>
      <c r="E137" s="112" t="n"/>
      <c r="F137" s="76" t="n"/>
      <c r="G137" s="76" t="n"/>
    </row>
    <row r="138" ht="15.75" customHeight="1" s="52">
      <c r="A138" s="108" t="n"/>
      <c r="B138" s="75" t="n"/>
      <c r="C138" s="75" t="n"/>
      <c r="D138" s="109">
        <f t="array" ref="D138:D138">IFERROR(INDEX(GroupLookup,MATCH(C138,CategoryList,0)),"")</f>
        <v/>
      </c>
      <c r="E138" s="110" t="n"/>
      <c r="F138" s="75" t="n"/>
      <c r="G138" s="75" t="n"/>
    </row>
    <row r="139" ht="15.75" customHeight="1" s="52">
      <c r="A139" s="114" t="n"/>
      <c r="B139" s="76" t="n"/>
      <c r="C139" s="76" t="n"/>
      <c r="D139" s="109">
        <f t="array" ref="D139:D139">IFERROR(INDEX(GroupLookup,MATCH(C139,CategoryList,0)),"")</f>
        <v/>
      </c>
      <c r="E139" s="112" t="n"/>
      <c r="F139" s="76" t="n"/>
      <c r="G139" s="76" t="n"/>
    </row>
    <row r="140" ht="15.75" customHeight="1" s="52">
      <c r="A140" s="108" t="n"/>
      <c r="B140" s="75" t="n"/>
      <c r="C140" s="75" t="n"/>
      <c r="D140" s="109">
        <f t="array" ref="D140:D140">IFERROR(INDEX(GroupLookup,MATCH(C140,CategoryList,0)),"")</f>
        <v/>
      </c>
      <c r="E140" s="110" t="n"/>
      <c r="F140" s="75" t="n"/>
      <c r="G140" s="75" t="n"/>
    </row>
    <row r="141" ht="15.75" customHeight="1" s="52">
      <c r="A141" s="114" t="n"/>
      <c r="B141" s="76" t="n"/>
      <c r="C141" s="76" t="n"/>
      <c r="D141" s="109">
        <f t="array" ref="D141:D141">IFERROR(INDEX(GroupLookup,MATCH(C141,CategoryList,0)),"")</f>
        <v/>
      </c>
      <c r="E141" s="112" t="n"/>
      <c r="F141" s="76" t="n"/>
      <c r="G141" s="76" t="n"/>
    </row>
    <row r="142" ht="15.75" customHeight="1" s="52">
      <c r="A142" s="108" t="n"/>
      <c r="B142" s="75" t="n"/>
      <c r="C142" s="75" t="n"/>
      <c r="D142" s="109">
        <f t="array" ref="D142:D142">IFERROR(INDEX(GroupLookup,MATCH(C142,CategoryList,0)),"")</f>
        <v/>
      </c>
      <c r="E142" s="110" t="n"/>
      <c r="F142" s="75" t="n"/>
      <c r="G142" s="75" t="n"/>
    </row>
    <row r="143" ht="15.75" customHeight="1" s="52">
      <c r="A143" s="114" t="n"/>
      <c r="B143" s="76" t="n"/>
      <c r="C143" s="76" t="n"/>
      <c r="D143" s="109">
        <f t="array" ref="D143:D143">IFERROR(INDEX(GroupLookup,MATCH(C143,CategoryList,0)),"")</f>
        <v/>
      </c>
      <c r="E143" s="112" t="n"/>
      <c r="F143" s="76" t="n"/>
      <c r="G143" s="76" t="n"/>
    </row>
    <row r="144" ht="15.75" customHeight="1" s="52">
      <c r="A144" s="108" t="n"/>
      <c r="B144" s="75" t="n"/>
      <c r="C144" s="75" t="n"/>
      <c r="D144" s="109">
        <f t="array" ref="D144:D144">IFERROR(INDEX(GroupLookup,MATCH(C144,CategoryList,0)),"")</f>
        <v/>
      </c>
      <c r="E144" s="110" t="n"/>
      <c r="F144" s="75" t="n"/>
      <c r="G144" s="75" t="n"/>
    </row>
    <row r="145" ht="15.75" customHeight="1" s="52">
      <c r="A145" s="114" t="n"/>
      <c r="B145" s="76" t="n"/>
      <c r="C145" s="76" t="n"/>
      <c r="D145" s="109">
        <f t="array" ref="D145:D145">IFERROR(INDEX(GroupLookup,MATCH(C145,CategoryList,0)),"")</f>
        <v/>
      </c>
      <c r="E145" s="112" t="n"/>
      <c r="F145" s="76" t="n"/>
      <c r="G145" s="76" t="n"/>
    </row>
    <row r="146" ht="15.75" customHeight="1" s="52">
      <c r="A146" s="108" t="n"/>
      <c r="B146" s="75" t="n"/>
      <c r="C146" s="75" t="n"/>
      <c r="D146" s="109">
        <f t="array" ref="D146:D146">IFERROR(INDEX(GroupLookup,MATCH(C146,CategoryList,0)),"")</f>
        <v/>
      </c>
      <c r="E146" s="110" t="n"/>
      <c r="F146" s="75" t="n"/>
      <c r="G146" s="75" t="n"/>
    </row>
    <row r="147" ht="15.75" customHeight="1" s="52">
      <c r="A147" s="114" t="n"/>
      <c r="B147" s="76" t="n"/>
      <c r="C147" s="76" t="n"/>
      <c r="D147" s="109">
        <f t="array" ref="D147:D147">IFERROR(INDEX(GroupLookup,MATCH(C147,CategoryList,0)),"")</f>
        <v/>
      </c>
      <c r="E147" s="112" t="n"/>
      <c r="F147" s="76" t="n"/>
      <c r="G147" s="76" t="n"/>
    </row>
    <row r="148" ht="15.75" customHeight="1" s="52">
      <c r="A148" s="108" t="n"/>
      <c r="B148" s="75" t="n"/>
      <c r="C148" s="75" t="n"/>
      <c r="D148" s="109">
        <f t="array" ref="D148:D148">IFERROR(INDEX(GroupLookup,MATCH(C148,CategoryList,0)),"")</f>
        <v/>
      </c>
      <c r="E148" s="110" t="n"/>
      <c r="F148" s="75" t="n"/>
      <c r="G148" s="75" t="n"/>
    </row>
    <row r="149" ht="15.75" customHeight="1" s="52">
      <c r="A149" s="114" t="n"/>
      <c r="B149" s="76" t="n"/>
      <c r="C149" s="76" t="n"/>
      <c r="D149" s="109">
        <f t="array" ref="D149:D149">IFERROR(INDEX(GroupLookup,MATCH(C149,CategoryList,0)),"")</f>
        <v/>
      </c>
      <c r="E149" s="112" t="n"/>
      <c r="F149" s="76" t="n"/>
      <c r="G149" s="76" t="n"/>
    </row>
    <row r="150" ht="15.75" customHeight="1" s="52">
      <c r="A150" s="108" t="n"/>
      <c r="B150" s="75" t="n"/>
      <c r="C150" s="75" t="n"/>
      <c r="D150" s="109">
        <f t="array" ref="D150:D150">IFERROR(INDEX(GroupLookup,MATCH(C150,CategoryList,0)),"")</f>
        <v/>
      </c>
      <c r="E150" s="110" t="n"/>
      <c r="F150" s="75" t="n"/>
      <c r="G150" s="75" t="n"/>
    </row>
    <row r="151" ht="15.75" customHeight="1" s="52">
      <c r="A151" s="114" t="n"/>
      <c r="B151" s="76" t="n"/>
      <c r="C151" s="76" t="n"/>
      <c r="D151" s="109">
        <f t="array" ref="D151:D151">IFERROR(INDEX(GroupLookup,MATCH(C151,CategoryList,0)),"")</f>
        <v/>
      </c>
      <c r="E151" s="112" t="n"/>
      <c r="F151" s="76" t="n"/>
      <c r="G151" s="76" t="n"/>
    </row>
    <row r="152" ht="15.75" customHeight="1" s="52">
      <c r="A152" s="108" t="n"/>
      <c r="B152" s="75" t="n"/>
      <c r="C152" s="75" t="n"/>
      <c r="D152" s="109">
        <f t="array" ref="D152:D152">IFERROR(INDEX(GroupLookup,MATCH(C152,CategoryList,0)),"")</f>
        <v/>
      </c>
      <c r="E152" s="110" t="n"/>
      <c r="F152" s="75" t="n"/>
      <c r="G152" s="75" t="n"/>
    </row>
    <row r="153" ht="15.75" customHeight="1" s="52">
      <c r="A153" s="114" t="n"/>
      <c r="B153" s="76" t="n"/>
      <c r="C153" s="76" t="n"/>
      <c r="D153" s="109">
        <f t="array" ref="D153:D153">IFERROR(INDEX(GroupLookup,MATCH(C153,CategoryList,0)),"")</f>
        <v/>
      </c>
      <c r="E153" s="112" t="n"/>
      <c r="F153" s="76" t="n"/>
      <c r="G153" s="76" t="n"/>
    </row>
    <row r="154" ht="15.75" customHeight="1" s="52">
      <c r="A154" s="108" t="n"/>
      <c r="B154" s="75" t="n"/>
      <c r="C154" s="75" t="n"/>
      <c r="D154" s="109">
        <f t="array" ref="D154:D154">IFERROR(INDEX(GroupLookup,MATCH(C154,CategoryList,0)),"")</f>
        <v/>
      </c>
      <c r="E154" s="110" t="n"/>
      <c r="F154" s="75" t="n"/>
      <c r="G154" s="75" t="n"/>
    </row>
    <row r="155" ht="15.75" customHeight="1" s="52">
      <c r="A155" s="114" t="n"/>
      <c r="B155" s="76" t="n"/>
      <c r="C155" s="76" t="n"/>
      <c r="D155" s="109">
        <f t="array" ref="D155:D155">IFERROR(INDEX(GroupLookup,MATCH(C155,CategoryList,0)),"")</f>
        <v/>
      </c>
      <c r="E155" s="112" t="n"/>
      <c r="F155" s="76" t="n"/>
      <c r="G155" s="76" t="n"/>
    </row>
    <row r="156" ht="15.75" customHeight="1" s="52">
      <c r="A156" s="108" t="n"/>
      <c r="B156" s="75" t="n"/>
      <c r="C156" s="75" t="n"/>
      <c r="D156" s="109">
        <f t="array" ref="D156:D156">IFERROR(INDEX(GroupLookup,MATCH(C156,CategoryList,0)),"")</f>
        <v/>
      </c>
      <c r="E156" s="110" t="n"/>
      <c r="F156" s="75" t="n"/>
      <c r="G156" s="75" t="n"/>
    </row>
    <row r="157" ht="15.75" customHeight="1" s="52">
      <c r="A157" s="114" t="n"/>
      <c r="B157" s="76" t="n"/>
      <c r="C157" s="76" t="n"/>
      <c r="D157" s="109">
        <f t="array" ref="D157:D157">IFERROR(INDEX(GroupLookup,MATCH(C157,CategoryList,0)),"")</f>
        <v/>
      </c>
      <c r="E157" s="112" t="n"/>
      <c r="F157" s="76" t="n"/>
      <c r="G157" s="76" t="n"/>
    </row>
    <row r="158" ht="15.75" customHeight="1" s="52">
      <c r="A158" s="108" t="n"/>
      <c r="B158" s="75" t="n"/>
      <c r="C158" s="75" t="n"/>
      <c r="D158" s="109">
        <f t="array" ref="D158:D158">IFERROR(INDEX(GroupLookup,MATCH(C158,CategoryList,0)),"")</f>
        <v/>
      </c>
      <c r="E158" s="110" t="n"/>
      <c r="F158" s="75" t="n"/>
      <c r="G158" s="75" t="n"/>
    </row>
    <row r="159" ht="15.75" customHeight="1" s="52">
      <c r="A159" s="114" t="n"/>
      <c r="B159" s="76" t="n"/>
      <c r="C159" s="76" t="n"/>
      <c r="D159" s="109">
        <f t="array" ref="D159:D159">IFERROR(INDEX(GroupLookup,MATCH(C159,CategoryList,0)),"")</f>
        <v/>
      </c>
      <c r="E159" s="112" t="n"/>
      <c r="F159" s="76" t="n"/>
      <c r="G159" s="76" t="n"/>
    </row>
    <row r="160" ht="15.75" customHeight="1" s="52">
      <c r="A160" s="108" t="n"/>
      <c r="B160" s="75" t="n"/>
      <c r="C160" s="75" t="n"/>
      <c r="D160" s="109">
        <f t="array" ref="D160:D160">IFERROR(INDEX(GroupLookup,MATCH(C160,CategoryList,0)),"")</f>
        <v/>
      </c>
      <c r="E160" s="110" t="n"/>
      <c r="F160" s="75" t="n"/>
      <c r="G160" s="75" t="n"/>
    </row>
    <row r="161" ht="15.75" customHeight="1" s="52">
      <c r="A161" s="114" t="n"/>
      <c r="B161" s="76" t="n"/>
      <c r="C161" s="76" t="n"/>
      <c r="D161" s="109">
        <f t="array" ref="D161:D161">IFERROR(INDEX(GroupLookup,MATCH(C161,CategoryList,0)),"")</f>
        <v/>
      </c>
      <c r="E161" s="112" t="n"/>
      <c r="F161" s="76" t="n"/>
      <c r="G161" s="76" t="n"/>
    </row>
    <row r="162" ht="15.75" customHeight="1" s="52">
      <c r="A162" s="108" t="n"/>
      <c r="B162" s="75" t="n"/>
      <c r="C162" s="75" t="n"/>
      <c r="D162" s="109">
        <f t="array" ref="D162:D162">IFERROR(INDEX(GroupLookup,MATCH(C162,CategoryList,0)),"")</f>
        <v/>
      </c>
      <c r="E162" s="110" t="n"/>
      <c r="F162" s="75" t="n"/>
      <c r="G162" s="75" t="n"/>
    </row>
    <row r="163" ht="15.75" customHeight="1" s="52">
      <c r="A163" s="114" t="n"/>
      <c r="B163" s="76" t="n"/>
      <c r="C163" s="76" t="n"/>
      <c r="D163" s="109">
        <f t="array" ref="D163:D163">IFERROR(INDEX(GroupLookup,MATCH(C163,CategoryList,0)),"")</f>
        <v/>
      </c>
      <c r="E163" s="112" t="n"/>
      <c r="F163" s="76" t="n"/>
      <c r="G163" s="76" t="n"/>
    </row>
    <row r="164" ht="15.75" customHeight="1" s="52">
      <c r="A164" s="108" t="n"/>
      <c r="B164" s="75" t="n"/>
      <c r="C164" s="75" t="n"/>
      <c r="D164" s="109">
        <f t="array" ref="D164:D164">IFERROR(INDEX(GroupLookup,MATCH(C164,CategoryList,0)),"")</f>
        <v/>
      </c>
      <c r="E164" s="110" t="n"/>
      <c r="F164" s="75" t="n"/>
      <c r="G164" s="75" t="n"/>
    </row>
    <row r="165" ht="15.75" customHeight="1" s="52">
      <c r="A165" s="114" t="n"/>
      <c r="B165" s="76" t="n"/>
      <c r="C165" s="76" t="n"/>
      <c r="D165" s="109">
        <f t="array" ref="D165:D165">IFERROR(INDEX(GroupLookup,MATCH(C165,CategoryList,0)),"")</f>
        <v/>
      </c>
      <c r="E165" s="112" t="n"/>
      <c r="F165" s="76" t="n"/>
      <c r="G165" s="76" t="n"/>
    </row>
    <row r="166" ht="15.75" customHeight="1" s="52">
      <c r="A166" s="108" t="n"/>
      <c r="B166" s="75" t="n"/>
      <c r="C166" s="75" t="n"/>
      <c r="D166" s="109">
        <f t="array" ref="D166:D166">IFERROR(INDEX(GroupLookup,MATCH(C166,CategoryList,0)),"")</f>
        <v/>
      </c>
      <c r="E166" s="110" t="n"/>
      <c r="F166" s="75" t="n"/>
      <c r="G166" s="75" t="n"/>
    </row>
    <row r="167" ht="15.75" customHeight="1" s="52">
      <c r="A167" s="114" t="n"/>
      <c r="B167" s="76" t="n"/>
      <c r="C167" s="76" t="n"/>
      <c r="D167" s="109">
        <f t="array" ref="D167:D167">IFERROR(INDEX(GroupLookup,MATCH(C167,CategoryList,0)),"")</f>
        <v/>
      </c>
      <c r="E167" s="112" t="n"/>
      <c r="F167" s="76" t="n"/>
      <c r="G167" s="76" t="n"/>
    </row>
    <row r="168" ht="15.75" customHeight="1" s="52">
      <c r="A168" s="108" t="n"/>
      <c r="B168" s="75" t="n"/>
      <c r="C168" s="75" t="n"/>
      <c r="D168" s="109">
        <f t="array" ref="D168:D168">IFERROR(INDEX(GroupLookup,MATCH(C168,CategoryList,0)),"")</f>
        <v/>
      </c>
      <c r="E168" s="110" t="n"/>
      <c r="F168" s="75" t="n"/>
      <c r="G168" s="75" t="n"/>
    </row>
    <row r="169" ht="15.75" customHeight="1" s="52">
      <c r="A169" s="114" t="n"/>
      <c r="B169" s="76" t="n"/>
      <c r="C169" s="76" t="n"/>
      <c r="D169" s="109">
        <f t="array" ref="D169:D169">IFERROR(INDEX(GroupLookup,MATCH(C169,CategoryList,0)),"")</f>
        <v/>
      </c>
      <c r="E169" s="112" t="n"/>
      <c r="F169" s="76" t="n"/>
      <c r="G169" s="76" t="n"/>
    </row>
    <row r="170" ht="15.75" customHeight="1" s="52">
      <c r="A170" s="108" t="n"/>
      <c r="B170" s="75" t="n"/>
      <c r="C170" s="75" t="n"/>
      <c r="D170" s="109">
        <f t="array" ref="D170:D170">IFERROR(INDEX(GroupLookup,MATCH(C170,CategoryList,0)),"")</f>
        <v/>
      </c>
      <c r="E170" s="110" t="n"/>
      <c r="F170" s="75" t="n"/>
      <c r="G170" s="75" t="n"/>
    </row>
    <row r="171" ht="15.75" customHeight="1" s="52">
      <c r="A171" s="114" t="n"/>
      <c r="B171" s="76" t="n"/>
      <c r="C171" s="76" t="n"/>
      <c r="D171" s="109">
        <f t="array" ref="D171:D171">IFERROR(INDEX(GroupLookup,MATCH(C171,CategoryList,0)),"")</f>
        <v/>
      </c>
      <c r="E171" s="112" t="n"/>
      <c r="F171" s="76" t="n"/>
      <c r="G171" s="76" t="n"/>
    </row>
    <row r="172" ht="15.75" customHeight="1" s="52">
      <c r="A172" s="108" t="n"/>
      <c r="B172" s="75" t="n"/>
      <c r="C172" s="75" t="n"/>
      <c r="D172" s="109">
        <f t="array" ref="D172:D172">IFERROR(INDEX(GroupLookup,MATCH(C172,CategoryList,0)),"")</f>
        <v/>
      </c>
      <c r="E172" s="110" t="n"/>
      <c r="F172" s="75" t="n"/>
      <c r="G172" s="75" t="n"/>
    </row>
    <row r="173" ht="15.75" customHeight="1" s="52">
      <c r="A173" s="114" t="n"/>
      <c r="B173" s="76" t="n"/>
      <c r="C173" s="76" t="n"/>
      <c r="D173" s="109">
        <f t="array" ref="D173:D173">IFERROR(INDEX(GroupLookup,MATCH(C173,CategoryList,0)),"")</f>
        <v/>
      </c>
      <c r="E173" s="112" t="n"/>
      <c r="F173" s="76" t="n"/>
      <c r="G173" s="76" t="n"/>
    </row>
    <row r="174" ht="15.75" customHeight="1" s="52">
      <c r="A174" s="108" t="n"/>
      <c r="B174" s="75" t="n"/>
      <c r="C174" s="75" t="n"/>
      <c r="D174" s="109">
        <f t="array" ref="D174:D174">IFERROR(INDEX(GroupLookup,MATCH(C174,CategoryList,0)),"")</f>
        <v/>
      </c>
      <c r="E174" s="110" t="n"/>
      <c r="F174" s="75" t="n"/>
      <c r="G174" s="75" t="n"/>
    </row>
    <row r="175" ht="15.75" customHeight="1" s="52">
      <c r="A175" s="114" t="n"/>
      <c r="B175" s="76" t="n"/>
      <c r="C175" s="76" t="n"/>
      <c r="D175" s="109">
        <f t="array" ref="D175:D175">IFERROR(INDEX(GroupLookup,MATCH(C175,CategoryList,0)),"")</f>
        <v/>
      </c>
      <c r="E175" s="112" t="n"/>
      <c r="F175" s="76" t="n"/>
      <c r="G175" s="76" t="n"/>
    </row>
    <row r="176" ht="15.75" customHeight="1" s="52">
      <c r="A176" s="108" t="n"/>
      <c r="B176" s="75" t="n"/>
      <c r="C176" s="75" t="n"/>
      <c r="D176" s="109">
        <f t="array" ref="D176:D176">IFERROR(INDEX(GroupLookup,MATCH(C176,CategoryList,0)),"")</f>
        <v/>
      </c>
      <c r="E176" s="110" t="n"/>
      <c r="F176" s="75" t="n"/>
      <c r="G176" s="75" t="n"/>
    </row>
    <row r="177" ht="15.75" customHeight="1" s="52">
      <c r="A177" s="114" t="n"/>
      <c r="B177" s="76" t="n"/>
      <c r="C177" s="76" t="n"/>
      <c r="D177" s="109">
        <f t="array" ref="D177:D177">IFERROR(INDEX(GroupLookup,MATCH(C177,CategoryList,0)),"")</f>
        <v/>
      </c>
      <c r="E177" s="112" t="n"/>
      <c r="F177" s="76" t="n"/>
      <c r="G177" s="76" t="n"/>
    </row>
    <row r="178" ht="15.75" customHeight="1" s="52">
      <c r="A178" s="108" t="n"/>
      <c r="B178" s="75" t="n"/>
      <c r="C178" s="75" t="n"/>
      <c r="D178" s="109">
        <f t="array" ref="D178:D178">IFERROR(INDEX(GroupLookup,MATCH(C178,CategoryList,0)),"")</f>
        <v/>
      </c>
      <c r="E178" s="110" t="n"/>
      <c r="F178" s="75" t="n"/>
      <c r="G178" s="75" t="n"/>
    </row>
    <row r="179" ht="15.75" customHeight="1" s="52">
      <c r="A179" s="114" t="n"/>
      <c r="B179" s="76" t="n"/>
      <c r="C179" s="76" t="n"/>
      <c r="D179" s="109">
        <f t="array" ref="D179:D179">IFERROR(INDEX(GroupLookup,MATCH(C179,CategoryList,0)),"")</f>
        <v/>
      </c>
      <c r="E179" s="112" t="n"/>
      <c r="F179" s="76" t="n"/>
      <c r="G179" s="76" t="n"/>
    </row>
    <row r="180" ht="15.75" customHeight="1" s="52">
      <c r="A180" s="108" t="n"/>
      <c r="B180" s="75" t="n"/>
      <c r="C180" s="75" t="n"/>
      <c r="D180" s="109">
        <f t="array" ref="D180:D180">IFERROR(INDEX(GroupLookup,MATCH(C180,CategoryList,0)),"")</f>
        <v/>
      </c>
      <c r="E180" s="110" t="n"/>
      <c r="F180" s="75" t="n"/>
      <c r="G180" s="75" t="n"/>
    </row>
    <row r="181" ht="15.75" customHeight="1" s="52">
      <c r="A181" s="114" t="n"/>
      <c r="B181" s="76" t="n"/>
      <c r="C181" s="76" t="n"/>
      <c r="D181" s="109">
        <f t="array" ref="D181:D181">IFERROR(INDEX(GroupLookup,MATCH(C181,CategoryList,0)),"")</f>
        <v/>
      </c>
      <c r="E181" s="112" t="n"/>
      <c r="F181" s="76" t="n"/>
      <c r="G181" s="76" t="n"/>
    </row>
    <row r="182" ht="15.75" customHeight="1" s="52">
      <c r="A182" s="108" t="n"/>
      <c r="B182" s="75" t="n"/>
      <c r="C182" s="75" t="n"/>
      <c r="D182" s="109">
        <f t="array" ref="D182:D182">IFERROR(INDEX(GroupLookup,MATCH(C182,CategoryList,0)),"")</f>
        <v/>
      </c>
      <c r="E182" s="110" t="n"/>
      <c r="F182" s="75" t="n"/>
      <c r="G182" s="75" t="n"/>
    </row>
    <row r="183" ht="15.75" customHeight="1" s="52">
      <c r="A183" s="114" t="n"/>
      <c r="B183" s="76" t="n"/>
      <c r="C183" s="76" t="n"/>
      <c r="D183" s="109">
        <f t="array" ref="D183:D183">IFERROR(INDEX(GroupLookup,MATCH(C183,CategoryList,0)),"")</f>
        <v/>
      </c>
      <c r="E183" s="112" t="n"/>
      <c r="F183" s="76" t="n"/>
      <c r="G183" s="76" t="n"/>
    </row>
    <row r="184" ht="15.75" customHeight="1" s="52">
      <c r="A184" s="108" t="n"/>
      <c r="B184" s="75" t="n"/>
      <c r="C184" s="75" t="n"/>
      <c r="D184" s="109">
        <f t="array" ref="D184:D184">IFERROR(INDEX(GroupLookup,MATCH(C184,CategoryList,0)),"")</f>
        <v/>
      </c>
      <c r="E184" s="110" t="n"/>
      <c r="F184" s="75" t="n"/>
      <c r="G184" s="75" t="n"/>
    </row>
    <row r="185" ht="15.75" customHeight="1" s="52">
      <c r="A185" s="114" t="n"/>
      <c r="B185" s="76" t="n"/>
      <c r="C185" s="76" t="n"/>
      <c r="D185" s="109">
        <f t="array" ref="D185:D185">IFERROR(INDEX(GroupLookup,MATCH(C185,CategoryList,0)),"")</f>
        <v/>
      </c>
      <c r="E185" s="112" t="n"/>
      <c r="F185" s="76" t="n"/>
      <c r="G185" s="76" t="n"/>
    </row>
    <row r="186" ht="15.75" customHeight="1" s="52">
      <c r="A186" s="108" t="n"/>
      <c r="B186" s="75" t="n"/>
      <c r="C186" s="75" t="n"/>
      <c r="D186" s="109">
        <f t="array" ref="D186:D186">IFERROR(INDEX(GroupLookup,MATCH(C186,CategoryList,0)),"")</f>
        <v/>
      </c>
      <c r="E186" s="110" t="n"/>
      <c r="F186" s="75" t="n"/>
      <c r="G186" s="75" t="n"/>
    </row>
    <row r="187" ht="15.75" customHeight="1" s="52">
      <c r="A187" s="114" t="n"/>
      <c r="B187" s="76" t="n"/>
      <c r="C187" s="76" t="n"/>
      <c r="D187" s="109">
        <f t="array" ref="D187:D187">IFERROR(INDEX(GroupLookup,MATCH(C187,CategoryList,0)),"")</f>
        <v/>
      </c>
      <c r="E187" s="112" t="n"/>
      <c r="F187" s="76" t="n"/>
      <c r="G187" s="76" t="n"/>
    </row>
    <row r="188" ht="15.75" customHeight="1" s="52">
      <c r="A188" s="108" t="n"/>
      <c r="B188" s="75" t="n"/>
      <c r="C188" s="75" t="n"/>
      <c r="D188" s="109">
        <f t="array" ref="D188:D188">IFERROR(INDEX(GroupLookup,MATCH(C188,CategoryList,0)),"")</f>
        <v/>
      </c>
      <c r="E188" s="110" t="n"/>
      <c r="F188" s="75" t="n"/>
      <c r="G188" s="75" t="n"/>
    </row>
    <row r="189" ht="15.75" customHeight="1" s="52">
      <c r="A189" s="114" t="n"/>
      <c r="B189" s="76" t="n"/>
      <c r="C189" s="76" t="n"/>
      <c r="D189" s="109">
        <f t="array" ref="D189:D189">IFERROR(INDEX(GroupLookup,MATCH(C189,CategoryList,0)),"")</f>
        <v/>
      </c>
      <c r="E189" s="112" t="n"/>
      <c r="F189" s="76" t="n"/>
      <c r="G189" s="76" t="n"/>
    </row>
    <row r="190" ht="15.75" customHeight="1" s="52">
      <c r="A190" s="108" t="n"/>
      <c r="B190" s="75" t="n"/>
      <c r="C190" s="75" t="n"/>
      <c r="D190" s="109">
        <f t="array" ref="D190:D190">IFERROR(INDEX(GroupLookup,MATCH(C190,CategoryList,0)),"")</f>
        <v/>
      </c>
      <c r="E190" s="110" t="n"/>
      <c r="F190" s="75" t="n"/>
      <c r="G190" s="75" t="n"/>
    </row>
    <row r="191" ht="15.75" customHeight="1" s="52">
      <c r="A191" s="114" t="n"/>
      <c r="B191" s="76" t="n"/>
      <c r="C191" s="76" t="n"/>
      <c r="D191" s="109">
        <f t="array" ref="D191:D191">IFERROR(INDEX(GroupLookup,MATCH(C191,CategoryList,0)),"")</f>
        <v/>
      </c>
      <c r="E191" s="112" t="n"/>
      <c r="F191" s="76" t="n"/>
      <c r="G191" s="76" t="n"/>
    </row>
    <row r="192" ht="15.75" customHeight="1" s="52">
      <c r="A192" s="108" t="n"/>
      <c r="B192" s="75" t="n"/>
      <c r="C192" s="75" t="n"/>
      <c r="D192" s="109">
        <f t="array" ref="D192:D192">IFERROR(INDEX(GroupLookup,MATCH(C192,CategoryList,0)),"")</f>
        <v/>
      </c>
      <c r="E192" s="110" t="n"/>
      <c r="F192" s="75" t="n"/>
      <c r="G192" s="75" t="n"/>
    </row>
    <row r="193" ht="15.75" customHeight="1" s="52">
      <c r="A193" s="114" t="n"/>
      <c r="B193" s="76" t="n"/>
      <c r="C193" s="76" t="n"/>
      <c r="D193" s="109">
        <f t="array" ref="D193:D193">IFERROR(INDEX(GroupLookup,MATCH(C193,CategoryList,0)),"")</f>
        <v/>
      </c>
      <c r="E193" s="112" t="n"/>
      <c r="F193" s="76" t="n"/>
      <c r="G193" s="76" t="n"/>
    </row>
    <row r="194" ht="15.75" customHeight="1" s="52">
      <c r="A194" s="108" t="n"/>
      <c r="B194" s="75" t="n"/>
      <c r="C194" s="75" t="n"/>
      <c r="D194" s="109">
        <f t="array" ref="D194:D194">IFERROR(INDEX(GroupLookup,MATCH(C194,CategoryList,0)),"")</f>
        <v/>
      </c>
      <c r="E194" s="110" t="n"/>
      <c r="F194" s="75" t="n"/>
      <c r="G194" s="75" t="n"/>
    </row>
    <row r="195" ht="15.75" customHeight="1" s="52">
      <c r="A195" s="114" t="n"/>
      <c r="B195" s="76" t="n"/>
      <c r="C195" s="76" t="n"/>
      <c r="D195" s="109">
        <f t="array" ref="D195:D195">IFERROR(INDEX(GroupLookup,MATCH(C195,CategoryList,0)),"")</f>
        <v/>
      </c>
      <c r="E195" s="112" t="n"/>
      <c r="F195" s="76" t="n"/>
      <c r="G195" s="76" t="n"/>
    </row>
    <row r="196" ht="15.75" customHeight="1" s="52">
      <c r="A196" s="108" t="n"/>
      <c r="B196" s="75" t="n"/>
      <c r="C196" s="75" t="n"/>
      <c r="D196" s="109">
        <f t="array" ref="D196:D196">IFERROR(INDEX(GroupLookup,MATCH(C196,CategoryList,0)),"")</f>
        <v/>
      </c>
      <c r="E196" s="110" t="n"/>
      <c r="F196" s="75" t="n"/>
      <c r="G196" s="75" t="n"/>
    </row>
    <row r="197" ht="15.75" customHeight="1" s="52">
      <c r="A197" s="114" t="n"/>
      <c r="B197" s="76" t="n"/>
      <c r="C197" s="76" t="n"/>
      <c r="D197" s="109">
        <f t="array" ref="D197:D197">IFERROR(INDEX(GroupLookup,MATCH(C197,CategoryList,0)),"")</f>
        <v/>
      </c>
      <c r="E197" s="112" t="n"/>
      <c r="F197" s="76" t="n"/>
      <c r="G197" s="76" t="n"/>
    </row>
    <row r="198" ht="15.75" customHeight="1" s="52">
      <c r="A198" s="108" t="n"/>
      <c r="B198" s="75" t="n"/>
      <c r="C198" s="75" t="n"/>
      <c r="D198" s="109">
        <f t="array" ref="D198:D198">IFERROR(INDEX(GroupLookup,MATCH(C198,CategoryList,0)),"")</f>
        <v/>
      </c>
      <c r="E198" s="110" t="n"/>
      <c r="F198" s="75" t="n"/>
      <c r="G198" s="75" t="n"/>
    </row>
    <row r="199" ht="15.75" customHeight="1" s="52">
      <c r="A199" s="114" t="n"/>
      <c r="B199" s="76" t="n"/>
      <c r="C199" s="76" t="n"/>
      <c r="D199" s="109">
        <f t="array" ref="D199:D199">IFERROR(INDEX(GroupLookup,MATCH(C199,CategoryList,0)),"")</f>
        <v/>
      </c>
      <c r="E199" s="112" t="n"/>
      <c r="F199" s="76" t="n"/>
      <c r="G199" s="76" t="n"/>
    </row>
    <row r="200" ht="15.75" customHeight="1" s="52">
      <c r="A200" s="108" t="n"/>
      <c r="B200" s="75" t="n"/>
      <c r="C200" s="75" t="n"/>
      <c r="D200" s="109">
        <f t="array" ref="D200:D200">IFERROR(INDEX(GroupLookup,MATCH(C200,CategoryList,0)),"")</f>
        <v/>
      </c>
      <c r="E200" s="110" t="n"/>
      <c r="F200" s="75" t="n"/>
      <c r="G200" s="75" t="n"/>
    </row>
    <row r="201" ht="15.75" customHeight="1" s="52">
      <c r="A201" s="114" t="n"/>
      <c r="B201" s="76" t="n"/>
      <c r="C201" s="76" t="n"/>
      <c r="D201" s="109">
        <f t="array" ref="D201:D201">IFERROR(INDEX(GroupLookup,MATCH(C201,CategoryList,0)),"")</f>
        <v/>
      </c>
      <c r="E201" s="112" t="n"/>
      <c r="F201" s="76" t="n"/>
      <c r="G201" s="76" t="n"/>
    </row>
    <row r="202" ht="15.75" customHeight="1" s="52">
      <c r="A202" s="108" t="n"/>
      <c r="B202" s="75" t="n"/>
      <c r="C202" s="75" t="n"/>
      <c r="D202" s="109">
        <f t="array" ref="D202:D202">IFERROR(INDEX(GroupLookup,MATCH(C202,CategoryList,0)),"")</f>
        <v/>
      </c>
      <c r="E202" s="110" t="n"/>
      <c r="F202" s="75" t="n"/>
      <c r="G202" s="75" t="n"/>
    </row>
    <row r="203" ht="15.75" customHeight="1" s="52">
      <c r="A203" s="114" t="n"/>
      <c r="B203" s="76" t="n"/>
      <c r="C203" s="76" t="n"/>
      <c r="D203" s="109">
        <f t="array" ref="D203:D203">IFERROR(INDEX(GroupLookup,MATCH(C203,CategoryList,0)),"")</f>
        <v/>
      </c>
      <c r="E203" s="112" t="n"/>
      <c r="F203" s="76" t="n"/>
      <c r="G203" s="76" t="n"/>
    </row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autoFilter ref="A3:G203"/>
  <mergeCells count="12">
    <mergeCell ref="A1:G1"/>
    <mergeCell ref="J20:K20"/>
    <mergeCell ref="I2:K2"/>
    <mergeCell ref="I14:K14"/>
    <mergeCell ref="J16:K16"/>
    <mergeCell ref="J15:K15"/>
    <mergeCell ref="I1:K1"/>
    <mergeCell ref="J18:K18"/>
    <mergeCell ref="J19:K19"/>
    <mergeCell ref="A2:G2"/>
    <mergeCell ref="I21:K21"/>
    <mergeCell ref="J17:K17"/>
  </mergeCells>
  <conditionalFormatting sqref="J13">
    <cfRule type="expression" rank="0" priority="2" equalAverage="0" aboveAverage="0" dxfId="0" text="" percent="0" bottom="0">
      <formula>$J$13&lt;&gt;0</formula>
    </cfRule>
  </conditionalFormatting>
  <conditionalFormatting sqref="A4:G203">
    <cfRule type="expression" rank="0" priority="3" equalAverage="0" aboveAverage="0" dxfId="7" text="" percent="0" bottom="0">
      <formula>AND($E4&gt;0,$D4="")</formula>
    </cfRule>
  </conditionalFormatting>
  <dataValidations count="4">
    <dataValidation sqref="E4:E203" showDropDown="0" showInputMessage="0" showErrorMessage="1" allowBlank="1" errorTitle="পরিমাণ ঋণাত্মক হতে পারে না" error="শুধু শূন্য বা তার বেশি সংখ্যা লিখুন। টাকার চিহ্ন নিজে থেকে বসবে।" type="decimal" errorStyle="stop" operator="greaterThanOrEqual">
      <formula1>0</formula1>
      <formula2>0</formula2>
    </dataValidation>
    <dataValidation sqref="A4:A203" showDropDown="0" showInputMessage="0" showErrorMessage="1" allowBlank="1" errorTitle="তারিখ এই মাসের বাইরে" error="তারিখটি এই শিটের মাসের মধ্যে পড়ছে না। ভুল হলে ঠিক করুন, নয়তো ‘হ্যাঁ’ চেপে রেখে দিন।" type="date" errorStyle="warning" operator="between">
      <formula1>DATE(2026,9,1)</formula1>
      <formula2>DATE(2026,9,30)</formula2>
    </dataValidation>
    <dataValidation sqref="C4:C203" showDropDown="0" showInputMessage="0" showErrorMessage="1" allowBlank="1" errorTitle="খাত তালিকায় নেই" error="ড্রপ-ডাউন থেকে একটি খাত বেছে নিন। তালিকার বাইরের খাত লিখলে ‘গ্রুপ’ কলাম খালি থাকবে এবং খরচটি গ্রুপভিত্তিক হিসাবে ধরা পড়বে না। নতুন খাত দরকার হলে ‘সেটিংস’ শিটে যোগ করুন।" type="list" errorStyle="stop" operator="between">
      <formula1>CategoryList</formula1>
      <formula2>0</formula2>
    </dataValidation>
    <dataValidation sqref="F4:F203" showDropDown="0" showInputMessage="0" showErrorMessage="1" allowBlank="1" errorTitle="পেমেন্ট মাধ্যম তালিকায় নেই" error="ড্রপ-ডাউন থেকে একটি পেমেন্ট মাধ্যম বেছে নিন।" type="list" errorStyle="stop" operator="between">
      <formula1>PaymentList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2E5C99"/>
    <outlinePr summaryBelow="1" summaryRight="1"/>
    <pageSetUpPr fitToPage="0"/>
  </sheetPr>
  <dimension ref="A1:K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3359375" defaultRowHeight="15" zeroHeight="0" outlineLevelRow="0"/>
  <cols>
    <col width="13" customWidth="1" style="51" min="1" max="1"/>
    <col width="34" customWidth="1" style="51" min="2" max="2"/>
    <col width="26" customWidth="1" style="51" min="3" max="3"/>
    <col width="24" customWidth="1" style="51" min="4" max="4"/>
    <col width="15" customWidth="1" style="51" min="5" max="5"/>
    <col width="20" customWidth="1" style="51" min="6" max="6"/>
    <col width="26" customWidth="1" style="51" min="7" max="7"/>
    <col width="3" customWidth="1" style="51" min="8" max="8"/>
    <col width="30" customWidth="1" style="51" min="9" max="9"/>
    <col width="17" customWidth="1" style="51" min="10" max="10"/>
    <col width="12" customWidth="1" style="51" min="11" max="11"/>
    <col width="8.710000000000001" customWidth="1" style="51" min="12" max="26"/>
  </cols>
  <sheetData>
    <row r="1" ht="25.5" customHeight="1" s="52">
      <c r="A1" s="104" t="inlineStr">
        <is>
          <t>দৈনিক খরচের হিসাব  —  অক্টোবর ২০২৬</t>
        </is>
      </c>
      <c r="I1" s="105" t="inlineStr">
        <is>
          <t>মাসিক সারসংক্ষেপ</t>
        </is>
      </c>
    </row>
    <row r="2" ht="15.75" customHeight="1" s="52">
      <c r="A2" s="59" t="inlineStr">
        <is>
          <t>শুধু  তারিখ · বিবরণ · খাত · পরিমাণ · পেমেন্ট মাধ্যম · মন্তব্য  ঘরগুলো পূরণ করুন। ‘গ্রুপ’ কলাম স্বয়ংক্রিয়ভাবে পূরণ হবে।</t>
        </is>
      </c>
      <c r="I2" s="106" t="n"/>
    </row>
    <row r="3" ht="21.75" customHeight="1" s="52">
      <c r="A3" s="107" t="inlineStr">
        <is>
          <t>তারিখ</t>
        </is>
      </c>
      <c r="B3" s="107" t="inlineStr">
        <is>
          <t>বিবরণ</t>
        </is>
      </c>
      <c r="C3" s="107" t="inlineStr">
        <is>
          <t>খাত</t>
        </is>
      </c>
      <c r="D3" s="107" t="inlineStr">
        <is>
          <t>গ্রুপ</t>
        </is>
      </c>
      <c r="E3" s="107" t="inlineStr">
        <is>
          <t>পরিমাণ (৳)</t>
        </is>
      </c>
      <c r="F3" s="107" t="inlineStr">
        <is>
          <t>পেমেন্ট মাধ্যম</t>
        </is>
      </c>
      <c r="G3" s="107" t="inlineStr">
        <is>
          <t>মন্তব্য</t>
        </is>
      </c>
      <c r="I3" s="100" t="inlineStr">
        <is>
          <t>গ্রুপ (প্রধান খাত)</t>
        </is>
      </c>
      <c r="J3" s="100" t="inlineStr">
        <is>
          <t>মোট (৳)</t>
        </is>
      </c>
      <c r="K3" s="100" t="inlineStr">
        <is>
          <t>শতাংশ</t>
        </is>
      </c>
    </row>
    <row r="4" ht="15" customHeight="1" s="52">
      <c r="A4" s="108" t="n"/>
      <c r="B4" s="75" t="n"/>
      <c r="C4" s="75" t="n"/>
      <c r="D4" s="109">
        <f t="array" ref="D4:D4">IFERROR(INDEX(GroupLookup,MATCH(C4,CategoryList,0)),"")</f>
        <v/>
      </c>
      <c r="E4" s="110" t="n"/>
      <c r="F4" s="75" t="n"/>
      <c r="G4" s="75" t="n"/>
      <c r="I4" s="75" t="inlineStr">
        <is>
          <t>খাদ্য ও মুদি</t>
        </is>
      </c>
      <c r="J4" s="110">
        <f>SUMIF($D$4:$D$203,$I4,$E$4:$E$203)</f>
        <v/>
      </c>
      <c r="K4" s="111">
        <f>IFERROR($J4/$J$12,0)</f>
        <v/>
      </c>
    </row>
    <row r="5" ht="15" customHeight="1" s="52">
      <c r="A5" s="114" t="n"/>
      <c r="B5" s="76" t="n"/>
      <c r="C5" s="76" t="n"/>
      <c r="D5" s="109">
        <f t="array" ref="D5:D5">IFERROR(INDEX(GroupLookup,MATCH(C5,CategoryList,0)),"")</f>
        <v/>
      </c>
      <c r="E5" s="112" t="n"/>
      <c r="F5" s="76" t="n"/>
      <c r="G5" s="76" t="n"/>
      <c r="I5" s="76" t="inlineStr">
        <is>
          <t>বাসস্থান</t>
        </is>
      </c>
      <c r="J5" s="112">
        <f>SUMIF($D$4:$D$203,$I5,$E$4:$E$203)</f>
        <v/>
      </c>
      <c r="K5" s="113">
        <f>IFERROR($J5/$J$12,0)</f>
        <v/>
      </c>
    </row>
    <row r="6" ht="15" customHeight="1" s="52">
      <c r="A6" s="108" t="n"/>
      <c r="B6" s="75" t="n"/>
      <c r="C6" s="75" t="n"/>
      <c r="D6" s="109">
        <f t="array" ref="D6:D6">IFERROR(INDEX(GroupLookup,MATCH(C6,CategoryList,0)),"")</f>
        <v/>
      </c>
      <c r="E6" s="110" t="n"/>
      <c r="F6" s="75" t="n"/>
      <c r="G6" s="75" t="n"/>
      <c r="I6" s="75" t="inlineStr">
        <is>
          <t>ইউটিলিটি বিল</t>
        </is>
      </c>
      <c r="J6" s="110">
        <f>SUMIF($D$4:$D$203,$I6,$E$4:$E$203)</f>
        <v/>
      </c>
      <c r="K6" s="111">
        <f>IFERROR($J6/$J$12,0)</f>
        <v/>
      </c>
    </row>
    <row r="7" ht="15" customHeight="1" s="52">
      <c r="A7" s="114" t="n"/>
      <c r="B7" s="76" t="n"/>
      <c r="C7" s="76" t="n"/>
      <c r="D7" s="109">
        <f t="array" ref="D7:D7">IFERROR(INDEX(GroupLookup,MATCH(C7,CategoryList,0)),"")</f>
        <v/>
      </c>
      <c r="E7" s="112" t="n"/>
      <c r="F7" s="76" t="n"/>
      <c r="G7" s="76" t="n"/>
      <c r="I7" s="76" t="inlineStr">
        <is>
          <t>যাতায়াত</t>
        </is>
      </c>
      <c r="J7" s="112">
        <f>SUMIF($D$4:$D$203,$I7,$E$4:$E$203)</f>
        <v/>
      </c>
      <c r="K7" s="113">
        <f>IFERROR($J7/$J$12,0)</f>
        <v/>
      </c>
    </row>
    <row r="8" ht="15" customHeight="1" s="52">
      <c r="A8" s="108" t="n"/>
      <c r="B8" s="75" t="n"/>
      <c r="C8" s="75" t="n"/>
      <c r="D8" s="109">
        <f t="array" ref="D8:D8">IFERROR(INDEX(GroupLookup,MATCH(C8,CategoryList,0)),"")</f>
        <v/>
      </c>
      <c r="E8" s="110" t="n"/>
      <c r="F8" s="75" t="n"/>
      <c r="G8" s="75" t="n"/>
      <c r="I8" s="75" t="inlineStr">
        <is>
          <t>স্বাস্থ্য</t>
        </is>
      </c>
      <c r="J8" s="110">
        <f>SUMIF($D$4:$D$203,$I8,$E$4:$E$203)</f>
        <v/>
      </c>
      <c r="K8" s="111">
        <f>IFERROR($J8/$J$12,0)</f>
        <v/>
      </c>
    </row>
    <row r="9" ht="15" customHeight="1" s="52">
      <c r="A9" s="114" t="n"/>
      <c r="B9" s="76" t="n"/>
      <c r="C9" s="76" t="n"/>
      <c r="D9" s="109">
        <f t="array" ref="D9:D9">IFERROR(INDEX(GroupLookup,MATCH(C9,CategoryList,0)),"")</f>
        <v/>
      </c>
      <c r="E9" s="112" t="n"/>
      <c r="F9" s="76" t="n"/>
      <c r="G9" s="76" t="n"/>
      <c r="I9" s="76" t="inlineStr">
        <is>
          <t>শিক্ষা</t>
        </is>
      </c>
      <c r="J9" s="112">
        <f>SUMIF($D$4:$D$203,$I9,$E$4:$E$203)</f>
        <v/>
      </c>
      <c r="K9" s="113">
        <f>IFERROR($J9/$J$12,0)</f>
        <v/>
      </c>
    </row>
    <row r="10" ht="15" customHeight="1" s="52">
      <c r="A10" s="108" t="n"/>
      <c r="B10" s="75" t="n"/>
      <c r="C10" s="75" t="n"/>
      <c r="D10" s="109">
        <f t="array" ref="D10:D10">IFERROR(INDEX(GroupLookup,MATCH(C10,CategoryList,0)),"")</f>
        <v/>
      </c>
      <c r="E10" s="110" t="n"/>
      <c r="F10" s="75" t="n"/>
      <c r="G10" s="75" t="n"/>
      <c r="I10" s="75" t="inlineStr">
        <is>
          <t>ব্যক্তিগত ও গৃহস্থালি</t>
        </is>
      </c>
      <c r="J10" s="110">
        <f>SUMIF($D$4:$D$203,$I10,$E$4:$E$203)</f>
        <v/>
      </c>
      <c r="K10" s="111">
        <f>IFERROR($J10/$J$12,0)</f>
        <v/>
      </c>
    </row>
    <row r="11" ht="15" customHeight="1" s="52">
      <c r="A11" s="114" t="n"/>
      <c r="B11" s="76" t="n"/>
      <c r="C11" s="76" t="n"/>
      <c r="D11" s="109">
        <f t="array" ref="D11:D11">IFERROR(INDEX(GroupLookup,MATCH(C11,CategoryList,0)),"")</f>
        <v/>
      </c>
      <c r="E11" s="112" t="n"/>
      <c r="F11" s="76" t="n"/>
      <c r="G11" s="76" t="n"/>
      <c r="I11" s="76" t="inlineStr">
        <is>
          <t>অন্যান্য</t>
        </is>
      </c>
      <c r="J11" s="112">
        <f>SUMIF($D$4:$D$203,$I11,$E$4:$E$203)</f>
        <v/>
      </c>
      <c r="K11" s="113">
        <f>IFERROR($J11/$J$12,0)</f>
        <v/>
      </c>
    </row>
    <row r="12" ht="15" customHeight="1" s="52">
      <c r="A12" s="108" t="n"/>
      <c r="B12" s="75" t="n"/>
      <c r="C12" s="75" t="n"/>
      <c r="D12" s="109">
        <f t="array" ref="D12:D12">IFERROR(INDEX(GroupLookup,MATCH(C12,CategoryList,0)),"")</f>
        <v/>
      </c>
      <c r="E12" s="110" t="n"/>
      <c r="F12" s="75" t="n"/>
      <c r="G12" s="75" t="n"/>
      <c r="I12" s="72" t="inlineStr">
        <is>
          <t>মোট মাসিক ব্যয়</t>
        </is>
      </c>
      <c r="J12" s="117">
        <f>SUM($E$4:$E$203)</f>
        <v/>
      </c>
      <c r="K12" s="118">
        <f>IFERROR($J$12/$J$12,0)</f>
        <v/>
      </c>
    </row>
    <row r="13" ht="15" customHeight="1" s="52">
      <c r="A13" s="114" t="n"/>
      <c r="B13" s="76" t="n"/>
      <c r="C13" s="76" t="n"/>
      <c r="D13" s="109">
        <f t="array" ref="D13:D13">IFERROR(INDEX(GroupLookup,MATCH(C13,CategoryList,0)),"")</f>
        <v/>
      </c>
      <c r="E13" s="112" t="n"/>
      <c r="F13" s="76" t="n"/>
      <c r="G13" s="76" t="n"/>
      <c r="I13" s="74" t="inlineStr">
        <is>
          <t>শ্রেণিবিন্যাসহীন (খাত তালিকায় নেই)</t>
        </is>
      </c>
      <c r="J13" s="117">
        <f>$J$12-SUM($J$4:$J$11)</f>
        <v/>
      </c>
      <c r="K13" s="118">
        <f>IFERROR($J13/$J$12,0)</f>
        <v/>
      </c>
    </row>
    <row r="14" ht="25.5" customHeight="1" s="52">
      <c r="A14" s="108" t="n"/>
      <c r="B14" s="75" t="n"/>
      <c r="C14" s="75" t="n"/>
      <c r="D14" s="109">
        <f t="array" ref="D14:D14">IFERROR(INDEX(GroupLookup,MATCH(C14,CategoryList,0)),"")</f>
        <v/>
      </c>
      <c r="E14" s="110" t="n"/>
      <c r="F14" s="75" t="n"/>
      <c r="G14" s="75" t="n"/>
      <c r="I14" s="119" t="inlineStr">
        <is>
          <t>গুরুত্বপূর্ণ তথ্য</t>
        </is>
      </c>
    </row>
    <row r="15" ht="15" customHeight="1" s="52">
      <c r="A15" s="114" t="n"/>
      <c r="B15" s="76" t="n"/>
      <c r="C15" s="76" t="n"/>
      <c r="D15" s="109">
        <f t="array" ref="D15:D15">IFERROR(INDEX(GroupLookup,MATCH(C15,CategoryList,0)),"")</f>
        <v/>
      </c>
      <c r="E15" s="112" t="n"/>
      <c r="F15" s="76" t="n"/>
      <c r="G15" s="76" t="n"/>
      <c r="I15" s="67" t="inlineStr">
        <is>
          <t>মোট লেনদেন সংখ্যা</t>
        </is>
      </c>
      <c r="J15" s="120">
        <f>COUNT($E$4:$E$203)</f>
        <v/>
      </c>
      <c r="K15" s="62" t="n"/>
    </row>
    <row r="16" ht="15" customHeight="1" s="52">
      <c r="A16" s="108" t="n"/>
      <c r="B16" s="75" t="n"/>
      <c r="C16" s="75" t="n"/>
      <c r="D16" s="109">
        <f t="array" ref="D16:D16">IFERROR(INDEX(GroupLookup,MATCH(C16,CategoryList,0)),"")</f>
        <v/>
      </c>
      <c r="E16" s="110" t="n"/>
      <c r="F16" s="75" t="n"/>
      <c r="G16" s="75" t="n"/>
      <c r="I16" s="70" t="inlineStr">
        <is>
          <t>দৈনিক গড় খরচ</t>
        </is>
      </c>
      <c r="J16" s="121">
        <f>IFERROR($J$12/31,0)</f>
        <v/>
      </c>
      <c r="K16" s="62" t="n"/>
    </row>
    <row r="17" ht="15" customHeight="1" s="52">
      <c r="A17" s="114" t="n"/>
      <c r="B17" s="76" t="n"/>
      <c r="C17" s="76" t="n"/>
      <c r="D17" s="109">
        <f t="array" ref="D17:D17">IFERROR(INDEX(GroupLookup,MATCH(C17,CategoryList,0)),"")</f>
        <v/>
      </c>
      <c r="E17" s="112" t="n"/>
      <c r="F17" s="76" t="n"/>
      <c r="G17" s="76" t="n"/>
      <c r="I17" s="67" t="inlineStr">
        <is>
          <t>প্রতি লেনদেনে গড়</t>
        </is>
      </c>
      <c r="J17" s="122">
        <f>IFERROR($J$12/COUNT($E$4:$E$203),0)</f>
        <v/>
      </c>
      <c r="K17" s="62" t="n"/>
    </row>
    <row r="18" ht="15" customHeight="1" s="52">
      <c r="A18" s="108" t="n"/>
      <c r="B18" s="75" t="n"/>
      <c r="C18" s="75" t="n"/>
      <c r="D18" s="109">
        <f t="array" ref="D18:D18">IFERROR(INDEX(GroupLookup,MATCH(C18,CategoryList,0)),"")</f>
        <v/>
      </c>
      <c r="E18" s="110" t="n"/>
      <c r="F18" s="75" t="n"/>
      <c r="G18" s="75" t="n"/>
      <c r="I18" s="70" t="inlineStr">
        <is>
          <t>সর্বোচ্চ একক খরচ</t>
        </is>
      </c>
      <c r="J18" s="121">
        <f>IFERROR(MAX($E$4:$E$203),0)</f>
        <v/>
      </c>
      <c r="K18" s="62" t="n"/>
    </row>
    <row r="19" ht="15" customHeight="1" s="52">
      <c r="A19" s="114" t="n"/>
      <c r="B19" s="76" t="n"/>
      <c r="C19" s="76" t="n"/>
      <c r="D19" s="109">
        <f t="array" ref="D19:D19">IFERROR(INDEX(GroupLookup,MATCH(C19,CategoryList,0)),"")</f>
        <v/>
      </c>
      <c r="E19" s="112" t="n"/>
      <c r="F19" s="76" t="n"/>
      <c r="G19" s="76" t="n"/>
      <c r="I19" s="67" t="inlineStr">
        <is>
          <t>সর্বোচ্চ ব্যয়ের গ্রুপ</t>
        </is>
      </c>
      <c r="J19" s="123">
        <f t="array" ref="J19:J19">IF($J$12=0,"–",IFERROR(INDEX($I$4:$I$11,MATCH(MAX($J$4:$J$11),$J$4:$J$11,0)),"–"))</f>
        <v/>
      </c>
      <c r="K19" s="62" t="n"/>
    </row>
    <row r="20" ht="15" customHeight="1" s="52">
      <c r="A20" s="108" t="n"/>
      <c r="B20" s="75" t="n"/>
      <c r="C20" s="75" t="n"/>
      <c r="D20" s="109">
        <f t="array" ref="D20:D20">IFERROR(INDEX(GroupLookup,MATCH(C20,CategoryList,0)),"")</f>
        <v/>
      </c>
      <c r="E20" s="110" t="n"/>
      <c r="F20" s="75" t="n"/>
      <c r="G20" s="75" t="n"/>
      <c r="I20" s="70" t="inlineStr">
        <is>
          <t>সর্বোচ্চ ব্যয়ের খাত</t>
        </is>
      </c>
      <c r="J20" s="124">
        <f t="array" ref="J20:J20">IF($J$12=0,"–",IFERROR(INDEX($I$23:$I$76,MATCH(MAX($J$23:$J$76),$J$23:$J$76,0)),"–"))</f>
        <v/>
      </c>
      <c r="K20" s="62" t="n"/>
    </row>
    <row r="21" ht="25.5" customHeight="1" s="52">
      <c r="A21" s="114" t="n"/>
      <c r="B21" s="76" t="n"/>
      <c r="C21" s="76" t="n"/>
      <c r="D21" s="109">
        <f t="array" ref="D21:D21">IFERROR(INDEX(GroupLookup,MATCH(C21,CategoryList,0)),"")</f>
        <v/>
      </c>
      <c r="E21" s="112" t="n"/>
      <c r="F21" s="76" t="n"/>
      <c r="G21" s="76" t="n"/>
      <c r="I21" s="119" t="inlineStr">
        <is>
          <t>খাতভিত্তিক বিস্তারিত</t>
        </is>
      </c>
    </row>
    <row r="22" ht="15.75" customHeight="1" s="52">
      <c r="A22" s="108" t="n"/>
      <c r="B22" s="75" t="n"/>
      <c r="C22" s="75" t="n"/>
      <c r="D22" s="109">
        <f t="array" ref="D22:D22">IFERROR(INDEX(GroupLookup,MATCH(C22,CategoryList,0)),"")</f>
        <v/>
      </c>
      <c r="E22" s="110" t="n"/>
      <c r="F22" s="75" t="n"/>
      <c r="G22" s="75" t="n"/>
      <c r="I22" s="100" t="inlineStr">
        <is>
          <t>খাত</t>
        </is>
      </c>
      <c r="J22" s="100" t="inlineStr">
        <is>
          <t>মোট (৳)</t>
        </is>
      </c>
      <c r="K22" s="100" t="inlineStr">
        <is>
          <t>শতাংশ</t>
        </is>
      </c>
    </row>
    <row r="23" ht="15.75" customHeight="1" s="52">
      <c r="A23" s="114" t="n"/>
      <c r="B23" s="76" t="n"/>
      <c r="C23" s="76" t="n"/>
      <c r="D23" s="109">
        <f t="array" ref="D23:D23">IFERROR(INDEX(GroupLookup,MATCH(C23,CategoryList,0)),"")</f>
        <v/>
      </c>
      <c r="E23" s="112" t="n"/>
      <c r="F23" s="76" t="n"/>
      <c r="G23" s="76" t="n"/>
      <c r="I23" s="75" t="inlineStr">
        <is>
          <t>চাল</t>
        </is>
      </c>
      <c r="J23" s="110">
        <f>SUMIF($C$4:$C$203,$I23,$E$4:$E$203)</f>
        <v/>
      </c>
      <c r="K23" s="111">
        <f>IFERROR($J23/$J$12,0)</f>
        <v/>
      </c>
    </row>
    <row r="24" ht="15.75" customHeight="1" s="52">
      <c r="A24" s="108" t="n"/>
      <c r="B24" s="75" t="n"/>
      <c r="C24" s="75" t="n"/>
      <c r="D24" s="109">
        <f t="array" ref="D24:D24">IFERROR(INDEX(GroupLookup,MATCH(C24,CategoryList,0)),"")</f>
        <v/>
      </c>
      <c r="E24" s="110" t="n"/>
      <c r="F24" s="75" t="n"/>
      <c r="G24" s="75" t="n"/>
      <c r="I24" s="76" t="inlineStr">
        <is>
          <t>আটা ও ময়দা</t>
        </is>
      </c>
      <c r="J24" s="112">
        <f>SUMIF($C$4:$C$203,$I24,$E$4:$E$203)</f>
        <v/>
      </c>
      <c r="K24" s="113">
        <f>IFERROR($J24/$J$12,0)</f>
        <v/>
      </c>
    </row>
    <row r="25" ht="15.75" customHeight="1" s="52">
      <c r="A25" s="114" t="n"/>
      <c r="B25" s="76" t="n"/>
      <c r="C25" s="76" t="n"/>
      <c r="D25" s="109">
        <f t="array" ref="D25:D25">IFERROR(INDEX(GroupLookup,MATCH(C25,CategoryList,0)),"")</f>
        <v/>
      </c>
      <c r="E25" s="112" t="n"/>
      <c r="F25" s="76" t="n"/>
      <c r="G25" s="76" t="n"/>
      <c r="I25" s="75" t="inlineStr">
        <is>
          <t>ডাল</t>
        </is>
      </c>
      <c r="J25" s="110">
        <f>SUMIF($C$4:$C$203,$I25,$E$4:$E$203)</f>
        <v/>
      </c>
      <c r="K25" s="111">
        <f>IFERROR($J25/$J$12,0)</f>
        <v/>
      </c>
    </row>
    <row r="26" ht="15.75" customHeight="1" s="52">
      <c r="A26" s="108" t="n"/>
      <c r="B26" s="75" t="n"/>
      <c r="C26" s="75" t="n"/>
      <c r="D26" s="109">
        <f t="array" ref="D26:D26">IFERROR(INDEX(GroupLookup,MATCH(C26,CategoryList,0)),"")</f>
        <v/>
      </c>
      <c r="E26" s="110" t="n"/>
      <c r="F26" s="75" t="n"/>
      <c r="G26" s="75" t="n"/>
      <c r="I26" s="76" t="inlineStr">
        <is>
          <t>মাছ</t>
        </is>
      </c>
      <c r="J26" s="112">
        <f>SUMIF($C$4:$C$203,$I26,$E$4:$E$203)</f>
        <v/>
      </c>
      <c r="K26" s="113">
        <f>IFERROR($J26/$J$12,0)</f>
        <v/>
      </c>
    </row>
    <row r="27" ht="15.75" customHeight="1" s="52">
      <c r="A27" s="114" t="n"/>
      <c r="B27" s="76" t="n"/>
      <c r="C27" s="76" t="n"/>
      <c r="D27" s="109">
        <f t="array" ref="D27:D27">IFERROR(INDEX(GroupLookup,MATCH(C27,CategoryList,0)),"")</f>
        <v/>
      </c>
      <c r="E27" s="112" t="n"/>
      <c r="F27" s="76" t="n"/>
      <c r="G27" s="76" t="n"/>
      <c r="I27" s="75" t="inlineStr">
        <is>
          <t>মাংস</t>
        </is>
      </c>
      <c r="J27" s="110">
        <f>SUMIF($C$4:$C$203,$I27,$E$4:$E$203)</f>
        <v/>
      </c>
      <c r="K27" s="111">
        <f>IFERROR($J27/$J$12,0)</f>
        <v/>
      </c>
    </row>
    <row r="28" ht="15.75" customHeight="1" s="52">
      <c r="A28" s="108" t="n"/>
      <c r="B28" s="75" t="n"/>
      <c r="C28" s="75" t="n"/>
      <c r="D28" s="109">
        <f t="array" ref="D28:D28">IFERROR(INDEX(GroupLookup,MATCH(C28,CategoryList,0)),"")</f>
        <v/>
      </c>
      <c r="E28" s="110" t="n"/>
      <c r="F28" s="75" t="n"/>
      <c r="G28" s="75" t="n"/>
      <c r="I28" s="76" t="inlineStr">
        <is>
          <t>ডিম</t>
        </is>
      </c>
      <c r="J28" s="112">
        <f>SUMIF($C$4:$C$203,$I28,$E$4:$E$203)</f>
        <v/>
      </c>
      <c r="K28" s="113">
        <f>IFERROR($J28/$J$12,0)</f>
        <v/>
      </c>
    </row>
    <row r="29" ht="15.75" customHeight="1" s="52">
      <c r="A29" s="114" t="n"/>
      <c r="B29" s="76" t="n"/>
      <c r="C29" s="76" t="n"/>
      <c r="D29" s="109">
        <f t="array" ref="D29:D29">IFERROR(INDEX(GroupLookup,MATCH(C29,CategoryList,0)),"")</f>
        <v/>
      </c>
      <c r="E29" s="112" t="n"/>
      <c r="F29" s="76" t="n"/>
      <c r="G29" s="76" t="n"/>
      <c r="I29" s="75" t="inlineStr">
        <is>
          <t>দুধ ও দুগ্ধজাত পণ্য</t>
        </is>
      </c>
      <c r="J29" s="110">
        <f>SUMIF($C$4:$C$203,$I29,$E$4:$E$203)</f>
        <v/>
      </c>
      <c r="K29" s="111">
        <f>IFERROR($J29/$J$12,0)</f>
        <v/>
      </c>
    </row>
    <row r="30" ht="15.75" customHeight="1" s="52">
      <c r="A30" s="108" t="n"/>
      <c r="B30" s="75" t="n"/>
      <c r="C30" s="75" t="n"/>
      <c r="D30" s="109">
        <f t="array" ref="D30:D30">IFERROR(INDEX(GroupLookup,MATCH(C30,CategoryList,0)),"")</f>
        <v/>
      </c>
      <c r="E30" s="110" t="n"/>
      <c r="F30" s="75" t="n"/>
      <c r="G30" s="75" t="n"/>
      <c r="I30" s="76" t="inlineStr">
        <is>
          <t>ভোজ্য তেল</t>
        </is>
      </c>
      <c r="J30" s="112">
        <f>SUMIF($C$4:$C$203,$I30,$E$4:$E$203)</f>
        <v/>
      </c>
      <c r="K30" s="113">
        <f>IFERROR($J30/$J$12,0)</f>
        <v/>
      </c>
    </row>
    <row r="31" ht="15.75" customHeight="1" s="52">
      <c r="A31" s="114" t="n"/>
      <c r="B31" s="76" t="n"/>
      <c r="C31" s="76" t="n"/>
      <c r="D31" s="109">
        <f t="array" ref="D31:D31">IFERROR(INDEX(GroupLookup,MATCH(C31,CategoryList,0)),"")</f>
        <v/>
      </c>
      <c r="E31" s="112" t="n"/>
      <c r="F31" s="76" t="n"/>
      <c r="G31" s="76" t="n"/>
      <c r="I31" s="75" t="inlineStr">
        <is>
          <t>শাক-সবজি</t>
        </is>
      </c>
      <c r="J31" s="110">
        <f>SUMIF($C$4:$C$203,$I31,$E$4:$E$203)</f>
        <v/>
      </c>
      <c r="K31" s="111">
        <f>IFERROR($J31/$J$12,0)</f>
        <v/>
      </c>
    </row>
    <row r="32" ht="15.75" customHeight="1" s="52">
      <c r="A32" s="108" t="n"/>
      <c r="B32" s="75" t="n"/>
      <c r="C32" s="75" t="n"/>
      <c r="D32" s="109">
        <f t="array" ref="D32:D32">IFERROR(INDEX(GroupLookup,MATCH(C32,CategoryList,0)),"")</f>
        <v/>
      </c>
      <c r="E32" s="110" t="n"/>
      <c r="F32" s="75" t="n"/>
      <c r="G32" s="75" t="n"/>
      <c r="I32" s="76" t="inlineStr">
        <is>
          <t>ফলমূল</t>
        </is>
      </c>
      <c r="J32" s="112">
        <f>SUMIF($C$4:$C$203,$I32,$E$4:$E$203)</f>
        <v/>
      </c>
      <c r="K32" s="113">
        <f>IFERROR($J32/$J$12,0)</f>
        <v/>
      </c>
    </row>
    <row r="33" ht="15.75" customHeight="1" s="52">
      <c r="A33" s="114" t="n"/>
      <c r="B33" s="76" t="n"/>
      <c r="C33" s="76" t="n"/>
      <c r="D33" s="109">
        <f t="array" ref="D33:D33">IFERROR(INDEX(GroupLookup,MATCH(C33,CategoryList,0)),"")</f>
        <v/>
      </c>
      <c r="E33" s="112" t="n"/>
      <c r="F33" s="76" t="n"/>
      <c r="G33" s="76" t="n"/>
      <c r="I33" s="75" t="inlineStr">
        <is>
          <t>মসলা</t>
        </is>
      </c>
      <c r="J33" s="110">
        <f>SUMIF($C$4:$C$203,$I33,$E$4:$E$203)</f>
        <v/>
      </c>
      <c r="K33" s="111">
        <f>IFERROR($J33/$J$12,0)</f>
        <v/>
      </c>
    </row>
    <row r="34" ht="15.75" customHeight="1" s="52">
      <c r="A34" s="108" t="n"/>
      <c r="B34" s="75" t="n"/>
      <c r="C34" s="75" t="n"/>
      <c r="D34" s="109">
        <f t="array" ref="D34:D34">IFERROR(INDEX(GroupLookup,MATCH(C34,CategoryList,0)),"")</f>
        <v/>
      </c>
      <c r="E34" s="110" t="n"/>
      <c r="F34" s="75" t="n"/>
      <c r="G34" s="75" t="n"/>
      <c r="I34" s="76" t="inlineStr">
        <is>
          <t>চিনি ও লবণ</t>
        </is>
      </c>
      <c r="J34" s="112">
        <f>SUMIF($C$4:$C$203,$I34,$E$4:$E$203)</f>
        <v/>
      </c>
      <c r="K34" s="113">
        <f>IFERROR($J34/$J$12,0)</f>
        <v/>
      </c>
    </row>
    <row r="35" ht="15.75" customHeight="1" s="52">
      <c r="A35" s="114" t="n"/>
      <c r="B35" s="76" t="n"/>
      <c r="C35" s="76" t="n"/>
      <c r="D35" s="109">
        <f t="array" ref="D35:D35">IFERROR(INDEX(GroupLookup,MATCH(C35,CategoryList,0)),"")</f>
        <v/>
      </c>
      <c r="E35" s="112" t="n"/>
      <c r="F35" s="76" t="n"/>
      <c r="G35" s="76" t="n"/>
      <c r="I35" s="75" t="inlineStr">
        <is>
          <t>চা ও কফি</t>
        </is>
      </c>
      <c r="J35" s="110">
        <f>SUMIF($C$4:$C$203,$I35,$E$4:$E$203)</f>
        <v/>
      </c>
      <c r="K35" s="111">
        <f>IFERROR($J35/$J$12,0)</f>
        <v/>
      </c>
    </row>
    <row r="36" ht="15.75" customHeight="1" s="52">
      <c r="A36" s="108" t="n"/>
      <c r="B36" s="75" t="n"/>
      <c r="C36" s="75" t="n"/>
      <c r="D36" s="109">
        <f t="array" ref="D36:D36">IFERROR(INDEX(GroupLookup,MATCH(C36,CategoryList,0)),"")</f>
        <v/>
      </c>
      <c r="E36" s="110" t="n"/>
      <c r="F36" s="75" t="n"/>
      <c r="G36" s="75" t="n"/>
      <c r="I36" s="76" t="inlineStr">
        <is>
          <t>নাশতা ও বেকারি</t>
        </is>
      </c>
      <c r="J36" s="112">
        <f>SUMIF($C$4:$C$203,$I36,$E$4:$E$203)</f>
        <v/>
      </c>
      <c r="K36" s="113">
        <f>IFERROR($J36/$J$12,0)</f>
        <v/>
      </c>
    </row>
    <row r="37" ht="15.75" customHeight="1" s="52">
      <c r="A37" s="114" t="n"/>
      <c r="B37" s="76" t="n"/>
      <c r="C37" s="76" t="n"/>
      <c r="D37" s="109">
        <f t="array" ref="D37:D37">IFERROR(INDEX(GroupLookup,MATCH(C37,CategoryList,0)),"")</f>
        <v/>
      </c>
      <c r="E37" s="112" t="n"/>
      <c r="F37" s="76" t="n"/>
      <c r="G37" s="76" t="n"/>
      <c r="I37" s="75" t="inlineStr">
        <is>
          <t>বাইরে খাওয়া / রেস্তোরাঁ</t>
        </is>
      </c>
      <c r="J37" s="110">
        <f>SUMIF($C$4:$C$203,$I37,$E$4:$E$203)</f>
        <v/>
      </c>
      <c r="K37" s="111">
        <f>IFERROR($J37/$J$12,0)</f>
        <v/>
      </c>
    </row>
    <row r="38" ht="15.75" customHeight="1" s="52">
      <c r="A38" s="108" t="n"/>
      <c r="B38" s="75" t="n"/>
      <c r="C38" s="75" t="n"/>
      <c r="D38" s="109">
        <f t="array" ref="D38:D38">IFERROR(INDEX(GroupLookup,MATCH(C38,CategoryList,0)),"")</f>
        <v/>
      </c>
      <c r="E38" s="110" t="n"/>
      <c r="F38" s="75" t="n"/>
      <c r="G38" s="75" t="n"/>
      <c r="I38" s="76" t="inlineStr">
        <is>
          <t>বাড়ি ভাড়া</t>
        </is>
      </c>
      <c r="J38" s="112">
        <f>SUMIF($C$4:$C$203,$I38,$E$4:$E$203)</f>
        <v/>
      </c>
      <c r="K38" s="113">
        <f>IFERROR($J38/$J$12,0)</f>
        <v/>
      </c>
    </row>
    <row r="39" ht="15.75" customHeight="1" s="52">
      <c r="A39" s="114" t="n"/>
      <c r="B39" s="76" t="n"/>
      <c r="C39" s="76" t="n"/>
      <c r="D39" s="109">
        <f t="array" ref="D39:D39">IFERROR(INDEX(GroupLookup,MATCH(C39,CategoryList,0)),"")</f>
        <v/>
      </c>
      <c r="E39" s="112" t="n"/>
      <c r="F39" s="76" t="n"/>
      <c r="G39" s="76" t="n"/>
      <c r="I39" s="75" t="inlineStr">
        <is>
          <t>সার্ভিস চার্জ</t>
        </is>
      </c>
      <c r="J39" s="110">
        <f>SUMIF($C$4:$C$203,$I39,$E$4:$E$203)</f>
        <v/>
      </c>
      <c r="K39" s="111">
        <f>IFERROR($J39/$J$12,0)</f>
        <v/>
      </c>
    </row>
    <row r="40" ht="15.75" customHeight="1" s="52">
      <c r="A40" s="108" t="n"/>
      <c r="B40" s="75" t="n"/>
      <c r="C40" s="75" t="n"/>
      <c r="D40" s="109">
        <f t="array" ref="D40:D40">IFERROR(INDEX(GroupLookup,MATCH(C40,CategoryList,0)),"")</f>
        <v/>
      </c>
      <c r="E40" s="110" t="n"/>
      <c r="F40" s="75" t="n"/>
      <c r="G40" s="75" t="n"/>
      <c r="I40" s="76" t="inlineStr">
        <is>
          <t>বাড়ি মেরামত ও রক্ষণাবেক্ষণ</t>
        </is>
      </c>
      <c r="J40" s="112">
        <f>SUMIF($C$4:$C$203,$I40,$E$4:$E$203)</f>
        <v/>
      </c>
      <c r="K40" s="113">
        <f>IFERROR($J40/$J$12,0)</f>
        <v/>
      </c>
    </row>
    <row r="41" ht="15.75" customHeight="1" s="52">
      <c r="A41" s="114" t="n"/>
      <c r="B41" s="76" t="n"/>
      <c r="C41" s="76" t="n"/>
      <c r="D41" s="109">
        <f t="array" ref="D41:D41">IFERROR(INDEX(GroupLookup,MATCH(C41,CategoryList,0)),"")</f>
        <v/>
      </c>
      <c r="E41" s="112" t="n"/>
      <c r="F41" s="76" t="n"/>
      <c r="G41" s="76" t="n"/>
      <c r="I41" s="75" t="inlineStr">
        <is>
          <t>গৃহকর্মীর বেতন</t>
        </is>
      </c>
      <c r="J41" s="110">
        <f>SUMIF($C$4:$C$203,$I41,$E$4:$E$203)</f>
        <v/>
      </c>
      <c r="K41" s="111">
        <f>IFERROR($J41/$J$12,0)</f>
        <v/>
      </c>
    </row>
    <row r="42" ht="15.75" customHeight="1" s="52">
      <c r="A42" s="108" t="n"/>
      <c r="B42" s="75" t="n"/>
      <c r="C42" s="75" t="n"/>
      <c r="D42" s="109">
        <f t="array" ref="D42:D42">IFERROR(INDEX(GroupLookup,MATCH(C42,CategoryList,0)),"")</f>
        <v/>
      </c>
      <c r="E42" s="110" t="n"/>
      <c r="F42" s="75" t="n"/>
      <c r="G42" s="75" t="n"/>
      <c r="I42" s="76" t="inlineStr">
        <is>
          <t>আসবাবপত্র</t>
        </is>
      </c>
      <c r="J42" s="112">
        <f>SUMIF($C$4:$C$203,$I42,$E$4:$E$203)</f>
        <v/>
      </c>
      <c r="K42" s="113">
        <f>IFERROR($J42/$J$12,0)</f>
        <v/>
      </c>
    </row>
    <row r="43" ht="15.75" customHeight="1" s="52">
      <c r="A43" s="114" t="n"/>
      <c r="B43" s="76" t="n"/>
      <c r="C43" s="76" t="n"/>
      <c r="D43" s="109">
        <f t="array" ref="D43:D43">IFERROR(INDEX(GroupLookup,MATCH(C43,CategoryList,0)),"")</f>
        <v/>
      </c>
      <c r="E43" s="112" t="n"/>
      <c r="F43" s="76" t="n"/>
      <c r="G43" s="76" t="n"/>
      <c r="I43" s="75" t="inlineStr">
        <is>
          <t>বিদ্যুৎ বিল</t>
        </is>
      </c>
      <c r="J43" s="110">
        <f>SUMIF($C$4:$C$203,$I43,$E$4:$E$203)</f>
        <v/>
      </c>
      <c r="K43" s="111">
        <f>IFERROR($J43/$J$12,0)</f>
        <v/>
      </c>
    </row>
    <row r="44" ht="15.75" customHeight="1" s="52">
      <c r="A44" s="108" t="n"/>
      <c r="B44" s="75" t="n"/>
      <c r="C44" s="75" t="n"/>
      <c r="D44" s="109">
        <f t="array" ref="D44:D44">IFERROR(INDEX(GroupLookup,MATCH(C44,CategoryList,0)),"")</f>
        <v/>
      </c>
      <c r="E44" s="110" t="n"/>
      <c r="F44" s="75" t="n"/>
      <c r="G44" s="75" t="n"/>
      <c r="I44" s="76" t="inlineStr">
        <is>
          <t>গ্যাস বিল</t>
        </is>
      </c>
      <c r="J44" s="112">
        <f>SUMIF($C$4:$C$203,$I44,$E$4:$E$203)</f>
        <v/>
      </c>
      <c r="K44" s="113">
        <f>IFERROR($J44/$J$12,0)</f>
        <v/>
      </c>
    </row>
    <row r="45" ht="15.75" customHeight="1" s="52">
      <c r="A45" s="114" t="n"/>
      <c r="B45" s="76" t="n"/>
      <c r="C45" s="76" t="n"/>
      <c r="D45" s="109">
        <f t="array" ref="D45:D45">IFERROR(INDEX(GroupLookup,MATCH(C45,CategoryList,0)),"")</f>
        <v/>
      </c>
      <c r="E45" s="112" t="n"/>
      <c r="F45" s="76" t="n"/>
      <c r="G45" s="76" t="n"/>
      <c r="I45" s="75" t="inlineStr">
        <is>
          <t>পানির বিল</t>
        </is>
      </c>
      <c r="J45" s="110">
        <f>SUMIF($C$4:$C$203,$I45,$E$4:$E$203)</f>
        <v/>
      </c>
      <c r="K45" s="111">
        <f>IFERROR($J45/$J$12,0)</f>
        <v/>
      </c>
    </row>
    <row r="46" ht="15.75" customHeight="1" s="52">
      <c r="A46" s="108" t="n"/>
      <c r="B46" s="75" t="n"/>
      <c r="C46" s="75" t="n"/>
      <c r="D46" s="109">
        <f t="array" ref="D46:D46">IFERROR(INDEX(GroupLookup,MATCH(C46,CategoryList,0)),"")</f>
        <v/>
      </c>
      <c r="E46" s="110" t="n"/>
      <c r="F46" s="75" t="n"/>
      <c r="G46" s="75" t="n"/>
      <c r="I46" s="76" t="inlineStr">
        <is>
          <t>ইন্টারনেট বিল</t>
        </is>
      </c>
      <c r="J46" s="112">
        <f>SUMIF($C$4:$C$203,$I46,$E$4:$E$203)</f>
        <v/>
      </c>
      <c r="K46" s="113">
        <f>IFERROR($J46/$J$12,0)</f>
        <v/>
      </c>
    </row>
    <row r="47" ht="15.75" customHeight="1" s="52">
      <c r="A47" s="114" t="n"/>
      <c r="B47" s="76" t="n"/>
      <c r="C47" s="76" t="n"/>
      <c r="D47" s="109">
        <f t="array" ref="D47:D47">IFERROR(INDEX(GroupLookup,MATCH(C47,CategoryList,0)),"")</f>
        <v/>
      </c>
      <c r="E47" s="112" t="n"/>
      <c r="F47" s="76" t="n"/>
      <c r="G47" s="76" t="n"/>
      <c r="I47" s="75" t="inlineStr">
        <is>
          <t>মোবাইল রিচার্জ</t>
        </is>
      </c>
      <c r="J47" s="110">
        <f>SUMIF($C$4:$C$203,$I47,$E$4:$E$203)</f>
        <v/>
      </c>
      <c r="K47" s="111">
        <f>IFERROR($J47/$J$12,0)</f>
        <v/>
      </c>
    </row>
    <row r="48" ht="15.75" customHeight="1" s="52">
      <c r="A48" s="108" t="n"/>
      <c r="B48" s="75" t="n"/>
      <c r="C48" s="75" t="n"/>
      <c r="D48" s="109">
        <f t="array" ref="D48:D48">IFERROR(INDEX(GroupLookup,MATCH(C48,CategoryList,0)),"")</f>
        <v/>
      </c>
      <c r="E48" s="110" t="n"/>
      <c r="F48" s="75" t="n"/>
      <c r="G48" s="75" t="n"/>
      <c r="I48" s="76" t="inlineStr">
        <is>
          <t>ডিশ / ক্যাবল বিল</t>
        </is>
      </c>
      <c r="J48" s="112">
        <f>SUMIF($C$4:$C$203,$I48,$E$4:$E$203)</f>
        <v/>
      </c>
      <c r="K48" s="113">
        <f>IFERROR($J48/$J$12,0)</f>
        <v/>
      </c>
    </row>
    <row r="49" ht="15.75" customHeight="1" s="52">
      <c r="A49" s="114" t="n"/>
      <c r="B49" s="76" t="n"/>
      <c r="C49" s="76" t="n"/>
      <c r="D49" s="109">
        <f t="array" ref="D49:D49">IFERROR(INDEX(GroupLookup,MATCH(C49,CategoryList,0)),"")</f>
        <v/>
      </c>
      <c r="E49" s="112" t="n"/>
      <c r="F49" s="76" t="n"/>
      <c r="G49" s="76" t="n"/>
      <c r="I49" s="75" t="inlineStr">
        <is>
          <t>পৌর কর ও হোল্ডিং ট্যাক্স</t>
        </is>
      </c>
      <c r="J49" s="110">
        <f>SUMIF($C$4:$C$203,$I49,$E$4:$E$203)</f>
        <v/>
      </c>
      <c r="K49" s="111">
        <f>IFERROR($J49/$J$12,0)</f>
        <v/>
      </c>
    </row>
    <row r="50" ht="15.75" customHeight="1" s="52">
      <c r="A50" s="108" t="n"/>
      <c r="B50" s="75" t="n"/>
      <c r="C50" s="75" t="n"/>
      <c r="D50" s="109">
        <f t="array" ref="D50:D50">IFERROR(INDEX(GroupLookup,MATCH(C50,CategoryList,0)),"")</f>
        <v/>
      </c>
      <c r="E50" s="110" t="n"/>
      <c r="F50" s="75" t="n"/>
      <c r="G50" s="75" t="n"/>
      <c r="I50" s="76" t="inlineStr">
        <is>
          <t>ময়লা ও পরিচ্ছন্নতা বিল</t>
        </is>
      </c>
      <c r="J50" s="112">
        <f>SUMIF($C$4:$C$203,$I50,$E$4:$E$203)</f>
        <v/>
      </c>
      <c r="K50" s="113">
        <f>IFERROR($J50/$J$12,0)</f>
        <v/>
      </c>
    </row>
    <row r="51" ht="15.75" customHeight="1" s="52">
      <c r="A51" s="114" t="n"/>
      <c r="B51" s="76" t="n"/>
      <c r="C51" s="76" t="n"/>
      <c r="D51" s="109">
        <f t="array" ref="D51:D51">IFERROR(INDEX(GroupLookup,MATCH(C51,CategoryList,0)),"")</f>
        <v/>
      </c>
      <c r="E51" s="112" t="n"/>
      <c r="F51" s="76" t="n"/>
      <c r="G51" s="76" t="n"/>
      <c r="I51" s="75" t="inlineStr">
        <is>
          <t>রিকশা / সিএনজি</t>
        </is>
      </c>
      <c r="J51" s="110">
        <f>SUMIF($C$4:$C$203,$I51,$E$4:$E$203)</f>
        <v/>
      </c>
      <c r="K51" s="111">
        <f>IFERROR($J51/$J$12,0)</f>
        <v/>
      </c>
    </row>
    <row r="52" ht="15.75" customHeight="1" s="52">
      <c r="A52" s="108" t="n"/>
      <c r="B52" s="75" t="n"/>
      <c r="C52" s="75" t="n"/>
      <c r="D52" s="109">
        <f t="array" ref="D52:D52">IFERROR(INDEX(GroupLookup,MATCH(C52,CategoryList,0)),"")</f>
        <v/>
      </c>
      <c r="E52" s="110" t="n"/>
      <c r="F52" s="75" t="n"/>
      <c r="G52" s="75" t="n"/>
      <c r="I52" s="76" t="inlineStr">
        <is>
          <t>বাস / ট্রেন / লঞ্চ ভাড়া</t>
        </is>
      </c>
      <c r="J52" s="112">
        <f>SUMIF($C$4:$C$203,$I52,$E$4:$E$203)</f>
        <v/>
      </c>
      <c r="K52" s="113">
        <f>IFERROR($J52/$J$12,0)</f>
        <v/>
      </c>
    </row>
    <row r="53" ht="15.75" customHeight="1" s="52">
      <c r="A53" s="114" t="n"/>
      <c r="B53" s="76" t="n"/>
      <c r="C53" s="76" t="n"/>
      <c r="D53" s="109">
        <f t="array" ref="D53:D53">IFERROR(INDEX(GroupLookup,MATCH(C53,CategoryList,0)),"")</f>
        <v/>
      </c>
      <c r="E53" s="112" t="n"/>
      <c r="F53" s="76" t="n"/>
      <c r="G53" s="76" t="n"/>
      <c r="I53" s="75" t="inlineStr">
        <is>
          <t>রাইড শেয়ারিং</t>
        </is>
      </c>
      <c r="J53" s="110">
        <f>SUMIF($C$4:$C$203,$I53,$E$4:$E$203)</f>
        <v/>
      </c>
      <c r="K53" s="111">
        <f>IFERROR($J53/$J$12,0)</f>
        <v/>
      </c>
    </row>
    <row r="54" ht="15.75" customHeight="1" s="52">
      <c r="A54" s="108" t="n"/>
      <c r="B54" s="75" t="n"/>
      <c r="C54" s="75" t="n"/>
      <c r="D54" s="109">
        <f t="array" ref="D54:D54">IFERROR(INDEX(GroupLookup,MATCH(C54,CategoryList,0)),"")</f>
        <v/>
      </c>
      <c r="E54" s="110" t="n"/>
      <c r="F54" s="75" t="n"/>
      <c r="G54" s="75" t="n"/>
      <c r="I54" s="76" t="inlineStr">
        <is>
          <t>জ্বালানি (পেট্রোল / ডিজেল)</t>
        </is>
      </c>
      <c r="J54" s="112">
        <f>SUMIF($C$4:$C$203,$I54,$E$4:$E$203)</f>
        <v/>
      </c>
      <c r="K54" s="113">
        <f>IFERROR($J54/$J$12,0)</f>
        <v/>
      </c>
    </row>
    <row r="55" ht="15.75" customHeight="1" s="52">
      <c r="A55" s="114" t="n"/>
      <c r="B55" s="76" t="n"/>
      <c r="C55" s="76" t="n"/>
      <c r="D55" s="109">
        <f t="array" ref="D55:D55">IFERROR(INDEX(GroupLookup,MATCH(C55,CategoryList,0)),"")</f>
        <v/>
      </c>
      <c r="E55" s="112" t="n"/>
      <c r="F55" s="76" t="n"/>
      <c r="G55" s="76" t="n"/>
      <c r="I55" s="75" t="inlineStr">
        <is>
          <t>গাড়ি / বাইক রক্ষণাবেক্ষণ</t>
        </is>
      </c>
      <c r="J55" s="110">
        <f>SUMIF($C$4:$C$203,$I55,$E$4:$E$203)</f>
        <v/>
      </c>
      <c r="K55" s="111">
        <f>IFERROR($J55/$J$12,0)</f>
        <v/>
      </c>
    </row>
    <row r="56" ht="15.75" customHeight="1" s="52">
      <c r="A56" s="108" t="n"/>
      <c r="B56" s="75" t="n"/>
      <c r="C56" s="75" t="n"/>
      <c r="D56" s="109">
        <f t="array" ref="D56:D56">IFERROR(INDEX(GroupLookup,MATCH(C56,CategoryList,0)),"")</f>
        <v/>
      </c>
      <c r="E56" s="110" t="n"/>
      <c r="F56" s="75" t="n"/>
      <c r="G56" s="75" t="n"/>
      <c r="I56" s="76" t="inlineStr">
        <is>
          <t>পার্কিং ও টোল</t>
        </is>
      </c>
      <c r="J56" s="112">
        <f>SUMIF($C$4:$C$203,$I56,$E$4:$E$203)</f>
        <v/>
      </c>
      <c r="K56" s="113">
        <f>IFERROR($J56/$J$12,0)</f>
        <v/>
      </c>
    </row>
    <row r="57" ht="15.75" customHeight="1" s="52">
      <c r="A57" s="114" t="n"/>
      <c r="B57" s="76" t="n"/>
      <c r="C57" s="76" t="n"/>
      <c r="D57" s="109">
        <f t="array" ref="D57:D57">IFERROR(INDEX(GroupLookup,MATCH(C57,CategoryList,0)),"")</f>
        <v/>
      </c>
      <c r="E57" s="112" t="n"/>
      <c r="F57" s="76" t="n"/>
      <c r="G57" s="76" t="n"/>
      <c r="I57" s="75" t="inlineStr">
        <is>
          <t>ওষুধ</t>
        </is>
      </c>
      <c r="J57" s="110">
        <f>SUMIF($C$4:$C$203,$I57,$E$4:$E$203)</f>
        <v/>
      </c>
      <c r="K57" s="111">
        <f>IFERROR($J57/$J$12,0)</f>
        <v/>
      </c>
    </row>
    <row r="58" ht="15.75" customHeight="1" s="52">
      <c r="A58" s="108" t="n"/>
      <c r="B58" s="75" t="n"/>
      <c r="C58" s="75" t="n"/>
      <c r="D58" s="109">
        <f t="array" ref="D58:D58">IFERROR(INDEX(GroupLookup,MATCH(C58,CategoryList,0)),"")</f>
        <v/>
      </c>
      <c r="E58" s="110" t="n"/>
      <c r="F58" s="75" t="n"/>
      <c r="G58" s="75" t="n"/>
      <c r="I58" s="76" t="inlineStr">
        <is>
          <t>ডাক্তারের ফি</t>
        </is>
      </c>
      <c r="J58" s="112">
        <f>SUMIF($C$4:$C$203,$I58,$E$4:$E$203)</f>
        <v/>
      </c>
      <c r="K58" s="113">
        <f>IFERROR($J58/$J$12,0)</f>
        <v/>
      </c>
    </row>
    <row r="59" ht="15.75" customHeight="1" s="52">
      <c r="A59" s="114" t="n"/>
      <c r="B59" s="76" t="n"/>
      <c r="C59" s="76" t="n"/>
      <c r="D59" s="109">
        <f t="array" ref="D59:D59">IFERROR(INDEX(GroupLookup,MATCH(C59,CategoryList,0)),"")</f>
        <v/>
      </c>
      <c r="E59" s="112" t="n"/>
      <c r="F59" s="76" t="n"/>
      <c r="G59" s="76" t="n"/>
      <c r="I59" s="75" t="inlineStr">
        <is>
          <t>চিকিৎসা পরীক্ষা</t>
        </is>
      </c>
      <c r="J59" s="110">
        <f>SUMIF($C$4:$C$203,$I59,$E$4:$E$203)</f>
        <v/>
      </c>
      <c r="K59" s="111">
        <f>IFERROR($J59/$J$12,0)</f>
        <v/>
      </c>
    </row>
    <row r="60" ht="15.75" customHeight="1" s="52">
      <c r="A60" s="108" t="n"/>
      <c r="B60" s="75" t="n"/>
      <c r="C60" s="75" t="n"/>
      <c r="D60" s="109">
        <f t="array" ref="D60:D60">IFERROR(INDEX(GroupLookup,MATCH(C60,CategoryList,0)),"")</f>
        <v/>
      </c>
      <c r="E60" s="110" t="n"/>
      <c r="F60" s="75" t="n"/>
      <c r="G60" s="75" t="n"/>
      <c r="I60" s="76" t="inlineStr">
        <is>
          <t>স্বাস্থ্য বীমা</t>
        </is>
      </c>
      <c r="J60" s="112">
        <f>SUMIF($C$4:$C$203,$I60,$E$4:$E$203)</f>
        <v/>
      </c>
      <c r="K60" s="113">
        <f>IFERROR($J60/$J$12,0)</f>
        <v/>
      </c>
    </row>
    <row r="61" ht="15.75" customHeight="1" s="52">
      <c r="A61" s="114" t="n"/>
      <c r="B61" s="76" t="n"/>
      <c r="C61" s="76" t="n"/>
      <c r="D61" s="109">
        <f t="array" ref="D61:D61">IFERROR(INDEX(GroupLookup,MATCH(C61,CategoryList,0)),"")</f>
        <v/>
      </c>
      <c r="E61" s="112" t="n"/>
      <c r="F61" s="76" t="n"/>
      <c r="G61" s="76" t="n"/>
      <c r="I61" s="75" t="inlineStr">
        <is>
          <t>স্কুল / কলেজ ফি</t>
        </is>
      </c>
      <c r="J61" s="110">
        <f>SUMIF($C$4:$C$203,$I61,$E$4:$E$203)</f>
        <v/>
      </c>
      <c r="K61" s="111">
        <f>IFERROR($J61/$J$12,0)</f>
        <v/>
      </c>
    </row>
    <row r="62" ht="15.75" customHeight="1" s="52">
      <c r="A62" s="108" t="n"/>
      <c r="B62" s="75" t="n"/>
      <c r="C62" s="75" t="n"/>
      <c r="D62" s="109">
        <f t="array" ref="D62:D62">IFERROR(INDEX(GroupLookup,MATCH(C62,CategoryList,0)),"")</f>
        <v/>
      </c>
      <c r="E62" s="110" t="n"/>
      <c r="F62" s="75" t="n"/>
      <c r="G62" s="75" t="n"/>
      <c r="I62" s="76" t="inlineStr">
        <is>
          <t>প্রাইভেট / কোচিং</t>
        </is>
      </c>
      <c r="J62" s="112">
        <f>SUMIF($C$4:$C$203,$I62,$E$4:$E$203)</f>
        <v/>
      </c>
      <c r="K62" s="113">
        <f>IFERROR($J62/$J$12,0)</f>
        <v/>
      </c>
    </row>
    <row r="63" ht="15.75" customHeight="1" s="52">
      <c r="A63" s="114" t="n"/>
      <c r="B63" s="76" t="n"/>
      <c r="C63" s="76" t="n"/>
      <c r="D63" s="109">
        <f t="array" ref="D63:D63">IFERROR(INDEX(GroupLookup,MATCH(C63,CategoryList,0)),"")</f>
        <v/>
      </c>
      <c r="E63" s="112" t="n"/>
      <c r="F63" s="76" t="n"/>
      <c r="G63" s="76" t="n"/>
      <c r="I63" s="75" t="inlineStr">
        <is>
          <t>বই ও শিক্ষা উপকরণ</t>
        </is>
      </c>
      <c r="J63" s="110">
        <f>SUMIF($C$4:$C$203,$I63,$E$4:$E$203)</f>
        <v/>
      </c>
      <c r="K63" s="111">
        <f>IFERROR($J63/$J$12,0)</f>
        <v/>
      </c>
    </row>
    <row r="64" ht="15.75" customHeight="1" s="52">
      <c r="A64" s="108" t="n"/>
      <c r="B64" s="75" t="n"/>
      <c r="C64" s="75" t="n"/>
      <c r="D64" s="109">
        <f t="array" ref="D64:D64">IFERROR(INDEX(GroupLookup,MATCH(C64,CategoryList,0)),"")</f>
        <v/>
      </c>
      <c r="E64" s="110" t="n"/>
      <c r="F64" s="75" t="n"/>
      <c r="G64" s="75" t="n"/>
      <c r="I64" s="76" t="inlineStr">
        <is>
          <t>পরীক্ষার ফি</t>
        </is>
      </c>
      <c r="J64" s="112">
        <f>SUMIF($C$4:$C$203,$I64,$E$4:$E$203)</f>
        <v/>
      </c>
      <c r="K64" s="113">
        <f>IFERROR($J64/$J$12,0)</f>
        <v/>
      </c>
    </row>
    <row r="65" ht="15.75" customHeight="1" s="52">
      <c r="A65" s="114" t="n"/>
      <c r="B65" s="76" t="n"/>
      <c r="C65" s="76" t="n"/>
      <c r="D65" s="109">
        <f t="array" ref="D65:D65">IFERROR(INDEX(GroupLookup,MATCH(C65,CategoryList,0)),"")</f>
        <v/>
      </c>
      <c r="E65" s="112" t="n"/>
      <c r="F65" s="76" t="n"/>
      <c r="G65" s="76" t="n"/>
      <c r="I65" s="75" t="inlineStr">
        <is>
          <t>পোশাক ও জুতা</t>
        </is>
      </c>
      <c r="J65" s="110">
        <f>SUMIF($C$4:$C$203,$I65,$E$4:$E$203)</f>
        <v/>
      </c>
      <c r="K65" s="111">
        <f>IFERROR($J65/$J$12,0)</f>
        <v/>
      </c>
    </row>
    <row r="66" ht="15.75" customHeight="1" s="52">
      <c r="A66" s="108" t="n"/>
      <c r="B66" s="75" t="n"/>
      <c r="C66" s="75" t="n"/>
      <c r="D66" s="109">
        <f t="array" ref="D66:D66">IFERROR(INDEX(GroupLookup,MATCH(C66,CategoryList,0)),"")</f>
        <v/>
      </c>
      <c r="E66" s="110" t="n"/>
      <c r="F66" s="75" t="n"/>
      <c r="G66" s="75" t="n"/>
      <c r="I66" s="76" t="inlineStr">
        <is>
          <t>প্রসাধনী ও পরিচর্যা</t>
        </is>
      </c>
      <c r="J66" s="112">
        <f>SUMIF($C$4:$C$203,$I66,$E$4:$E$203)</f>
        <v/>
      </c>
      <c r="K66" s="113">
        <f>IFERROR($J66/$J$12,0)</f>
        <v/>
      </c>
    </row>
    <row r="67" ht="15.75" customHeight="1" s="52">
      <c r="A67" s="114" t="n"/>
      <c r="B67" s="76" t="n"/>
      <c r="C67" s="76" t="n"/>
      <c r="D67" s="109">
        <f t="array" ref="D67:D67">IFERROR(INDEX(GroupLookup,MATCH(C67,CategoryList,0)),"")</f>
        <v/>
      </c>
      <c r="E67" s="112" t="n"/>
      <c r="F67" s="76" t="n"/>
      <c r="G67" s="76" t="n"/>
      <c r="I67" s="75" t="inlineStr">
        <is>
          <t>সাবান ও ডিটারজেন্ট</t>
        </is>
      </c>
      <c r="J67" s="110">
        <f>SUMIF($C$4:$C$203,$I67,$E$4:$E$203)</f>
        <v/>
      </c>
      <c r="K67" s="111">
        <f>IFERROR($J67/$J$12,0)</f>
        <v/>
      </c>
    </row>
    <row r="68" ht="15.75" customHeight="1" s="52">
      <c r="A68" s="108" t="n"/>
      <c r="B68" s="75" t="n"/>
      <c r="C68" s="75" t="n"/>
      <c r="D68" s="109">
        <f t="array" ref="D68:D68">IFERROR(INDEX(GroupLookup,MATCH(C68,CategoryList,0)),"")</f>
        <v/>
      </c>
      <c r="E68" s="110" t="n"/>
      <c r="F68" s="75" t="n"/>
      <c r="G68" s="75" t="n"/>
      <c r="I68" s="76" t="inlineStr">
        <is>
          <t>গৃহস্থালি সামগ্রী</t>
        </is>
      </c>
      <c r="J68" s="112">
        <f>SUMIF($C$4:$C$203,$I68,$E$4:$E$203)</f>
        <v/>
      </c>
      <c r="K68" s="113">
        <f>IFERROR($J68/$J$12,0)</f>
        <v/>
      </c>
    </row>
    <row r="69" ht="15.75" customHeight="1" s="52">
      <c r="A69" s="114" t="n"/>
      <c r="B69" s="76" t="n"/>
      <c r="C69" s="76" t="n"/>
      <c r="D69" s="109">
        <f t="array" ref="D69:D69">IFERROR(INDEX(GroupLookup,MATCH(C69,CategoryList,0)),"")</f>
        <v/>
      </c>
      <c r="E69" s="112" t="n"/>
      <c r="F69" s="76" t="n"/>
      <c r="G69" s="76" t="n"/>
      <c r="I69" s="75" t="inlineStr">
        <is>
          <t>সেলুন / পার্লার</t>
        </is>
      </c>
      <c r="J69" s="110">
        <f>SUMIF($C$4:$C$203,$I69,$E$4:$E$203)</f>
        <v/>
      </c>
      <c r="K69" s="111">
        <f>IFERROR($J69/$J$12,0)</f>
        <v/>
      </c>
    </row>
    <row r="70" ht="15.75" customHeight="1" s="52">
      <c r="A70" s="108" t="n"/>
      <c r="B70" s="75" t="n"/>
      <c r="C70" s="75" t="n"/>
      <c r="D70" s="109">
        <f t="array" ref="D70:D70">IFERROR(INDEX(GroupLookup,MATCH(C70,CategoryList,0)),"")</f>
        <v/>
      </c>
      <c r="E70" s="110" t="n"/>
      <c r="F70" s="75" t="n"/>
      <c r="G70" s="75" t="n"/>
      <c r="I70" s="76" t="inlineStr">
        <is>
          <t>বিনোদন ও ঘোরাঘুরি</t>
        </is>
      </c>
      <c r="J70" s="112">
        <f>SUMIF($C$4:$C$203,$I70,$E$4:$E$203)</f>
        <v/>
      </c>
      <c r="K70" s="113">
        <f>IFERROR($J70/$J$12,0)</f>
        <v/>
      </c>
    </row>
    <row r="71" ht="15.75" customHeight="1" s="52">
      <c r="A71" s="114" t="n"/>
      <c r="B71" s="76" t="n"/>
      <c r="C71" s="76" t="n"/>
      <c r="D71" s="109">
        <f t="array" ref="D71:D71">IFERROR(INDEX(GroupLookup,MATCH(C71,CategoryList,0)),"")</f>
        <v/>
      </c>
      <c r="E71" s="112" t="n"/>
      <c r="F71" s="76" t="n"/>
      <c r="G71" s="76" t="n"/>
      <c r="I71" s="75" t="inlineStr">
        <is>
          <t>উপহার ও অনুষ্ঠান</t>
        </is>
      </c>
      <c r="J71" s="110">
        <f>SUMIF($C$4:$C$203,$I71,$E$4:$E$203)</f>
        <v/>
      </c>
      <c r="K71" s="111">
        <f>IFERROR($J71/$J$12,0)</f>
        <v/>
      </c>
    </row>
    <row r="72" ht="15.75" customHeight="1" s="52">
      <c r="A72" s="108" t="n"/>
      <c r="B72" s="75" t="n"/>
      <c r="C72" s="75" t="n"/>
      <c r="D72" s="109">
        <f t="array" ref="D72:D72">IFERROR(INDEX(GroupLookup,MATCH(C72,CategoryList,0)),"")</f>
        <v/>
      </c>
      <c r="E72" s="110" t="n"/>
      <c r="F72" s="75" t="n"/>
      <c r="G72" s="75" t="n"/>
      <c r="I72" s="76" t="inlineStr">
        <is>
          <t>দান ও যাকাত</t>
        </is>
      </c>
      <c r="J72" s="112">
        <f>SUMIF($C$4:$C$203,$I72,$E$4:$E$203)</f>
        <v/>
      </c>
      <c r="K72" s="113">
        <f>IFERROR($J72/$J$12,0)</f>
        <v/>
      </c>
    </row>
    <row r="73" ht="15.75" customHeight="1" s="52">
      <c r="A73" s="114" t="n"/>
      <c r="B73" s="76" t="n"/>
      <c r="C73" s="76" t="n"/>
      <c r="D73" s="109">
        <f t="array" ref="D73:D73">IFERROR(INDEX(GroupLookup,MATCH(C73,CategoryList,0)),"")</f>
        <v/>
      </c>
      <c r="E73" s="112" t="n"/>
      <c r="F73" s="76" t="n"/>
      <c r="G73" s="76" t="n"/>
      <c r="I73" s="75" t="inlineStr">
        <is>
          <t>সঞ্চয় ও বিনিয়োগ</t>
        </is>
      </c>
      <c r="J73" s="110">
        <f>SUMIF($C$4:$C$203,$I73,$E$4:$E$203)</f>
        <v/>
      </c>
      <c r="K73" s="111">
        <f>IFERROR($J73/$J$12,0)</f>
        <v/>
      </c>
    </row>
    <row r="74" ht="15.75" customHeight="1" s="52">
      <c r="A74" s="108" t="n"/>
      <c r="B74" s="75" t="n"/>
      <c r="C74" s="75" t="n"/>
      <c r="D74" s="109">
        <f t="array" ref="D74:D74">IFERROR(INDEX(GroupLookup,MATCH(C74,CategoryList,0)),"")</f>
        <v/>
      </c>
      <c r="E74" s="110" t="n"/>
      <c r="F74" s="75" t="n"/>
      <c r="G74" s="75" t="n"/>
      <c r="I74" s="76" t="inlineStr">
        <is>
          <t>ঋণ পরিশোধ / কিস্তি</t>
        </is>
      </c>
      <c r="J74" s="112">
        <f>SUMIF($C$4:$C$203,$I74,$E$4:$E$203)</f>
        <v/>
      </c>
      <c r="K74" s="113">
        <f>IFERROR($J74/$J$12,0)</f>
        <v/>
      </c>
    </row>
    <row r="75" ht="15.75" customHeight="1" s="52">
      <c r="A75" s="114" t="n"/>
      <c r="B75" s="76" t="n"/>
      <c r="C75" s="76" t="n"/>
      <c r="D75" s="109">
        <f t="array" ref="D75:D75">IFERROR(INDEX(GroupLookup,MATCH(C75,CategoryList,0)),"")</f>
        <v/>
      </c>
      <c r="E75" s="112" t="n"/>
      <c r="F75" s="76" t="n"/>
      <c r="G75" s="76" t="n"/>
      <c r="I75" s="75" t="inlineStr">
        <is>
          <t>বীমা প্রিমিয়াম</t>
        </is>
      </c>
      <c r="J75" s="110">
        <f>SUMIF($C$4:$C$203,$I75,$E$4:$E$203)</f>
        <v/>
      </c>
      <c r="K75" s="111">
        <f>IFERROR($J75/$J$12,0)</f>
        <v/>
      </c>
    </row>
    <row r="76" ht="15.75" customHeight="1" s="52">
      <c r="A76" s="108" t="n"/>
      <c r="B76" s="75" t="n"/>
      <c r="C76" s="75" t="n"/>
      <c r="D76" s="109">
        <f t="array" ref="D76:D76">IFERROR(INDEX(GroupLookup,MATCH(C76,CategoryList,0)),"")</f>
        <v/>
      </c>
      <c r="E76" s="110" t="n"/>
      <c r="F76" s="75" t="n"/>
      <c r="G76" s="75" t="n"/>
      <c r="I76" s="76" t="inlineStr">
        <is>
          <t>অন্যান্য খরচ</t>
        </is>
      </c>
      <c r="J76" s="112">
        <f>SUMIF($C$4:$C$203,$I76,$E$4:$E$203)</f>
        <v/>
      </c>
      <c r="K76" s="113">
        <f>IFERROR($J76/$J$12,0)</f>
        <v/>
      </c>
    </row>
    <row r="77" ht="15.75" customHeight="1" s="52">
      <c r="A77" s="114" t="n"/>
      <c r="B77" s="76" t="n"/>
      <c r="C77" s="76" t="n"/>
      <c r="D77" s="109">
        <f t="array" ref="D77:D77">IFERROR(INDEX(GroupLookup,MATCH(C77,CategoryList,0)),"")</f>
        <v/>
      </c>
      <c r="E77" s="112" t="n"/>
      <c r="F77" s="76" t="n"/>
      <c r="G77" s="76" t="n"/>
      <c r="I77" s="72" t="inlineStr">
        <is>
          <t>সর্বমোট</t>
        </is>
      </c>
      <c r="J77" s="117">
        <f>SUM($J$23:$J$76)</f>
        <v/>
      </c>
      <c r="K77" s="118">
        <f>IFERROR($J$77/$J$12,0)</f>
        <v/>
      </c>
    </row>
    <row r="78" ht="15.75" customHeight="1" s="52">
      <c r="A78" s="108" t="n"/>
      <c r="B78" s="75" t="n"/>
      <c r="C78" s="75" t="n"/>
      <c r="D78" s="109">
        <f t="array" ref="D78:D78">IFERROR(INDEX(GroupLookup,MATCH(C78,CategoryList,0)),"")</f>
        <v/>
      </c>
      <c r="E78" s="110" t="n"/>
      <c r="F78" s="75" t="n"/>
      <c r="G78" s="75" t="n"/>
    </row>
    <row r="79" ht="15.75" customHeight="1" s="52">
      <c r="A79" s="114" t="n"/>
      <c r="B79" s="76" t="n"/>
      <c r="C79" s="76" t="n"/>
      <c r="D79" s="109">
        <f t="array" ref="D79:D79">IFERROR(INDEX(GroupLookup,MATCH(C79,CategoryList,0)),"")</f>
        <v/>
      </c>
      <c r="E79" s="112" t="n"/>
      <c r="F79" s="76" t="n"/>
      <c r="G79" s="76" t="n"/>
    </row>
    <row r="80" ht="15.75" customHeight="1" s="52">
      <c r="A80" s="108" t="n"/>
      <c r="B80" s="75" t="n"/>
      <c r="C80" s="75" t="n"/>
      <c r="D80" s="109">
        <f t="array" ref="D80:D80">IFERROR(INDEX(GroupLookup,MATCH(C80,CategoryList,0)),"")</f>
        <v/>
      </c>
      <c r="E80" s="110" t="n"/>
      <c r="F80" s="75" t="n"/>
      <c r="G80" s="75" t="n"/>
    </row>
    <row r="81" ht="15.75" customHeight="1" s="52">
      <c r="A81" s="114" t="n"/>
      <c r="B81" s="76" t="n"/>
      <c r="C81" s="76" t="n"/>
      <c r="D81" s="109">
        <f t="array" ref="D81:D81">IFERROR(INDEX(GroupLookup,MATCH(C81,CategoryList,0)),"")</f>
        <v/>
      </c>
      <c r="E81" s="112" t="n"/>
      <c r="F81" s="76" t="n"/>
      <c r="G81" s="76" t="n"/>
    </row>
    <row r="82" ht="15.75" customHeight="1" s="52">
      <c r="A82" s="108" t="n"/>
      <c r="B82" s="75" t="n"/>
      <c r="C82" s="75" t="n"/>
      <c r="D82" s="109">
        <f t="array" ref="D82:D82">IFERROR(INDEX(GroupLookup,MATCH(C82,CategoryList,0)),"")</f>
        <v/>
      </c>
      <c r="E82" s="110" t="n"/>
      <c r="F82" s="75" t="n"/>
      <c r="G82" s="75" t="n"/>
    </row>
    <row r="83" ht="15.75" customHeight="1" s="52">
      <c r="A83" s="114" t="n"/>
      <c r="B83" s="76" t="n"/>
      <c r="C83" s="76" t="n"/>
      <c r="D83" s="109">
        <f t="array" ref="D83:D83">IFERROR(INDEX(GroupLookup,MATCH(C83,CategoryList,0)),"")</f>
        <v/>
      </c>
      <c r="E83" s="112" t="n"/>
      <c r="F83" s="76" t="n"/>
      <c r="G83" s="76" t="n"/>
    </row>
    <row r="84" ht="15.75" customHeight="1" s="52">
      <c r="A84" s="108" t="n"/>
      <c r="B84" s="75" t="n"/>
      <c r="C84" s="75" t="n"/>
      <c r="D84" s="109">
        <f t="array" ref="D84:D84">IFERROR(INDEX(GroupLookup,MATCH(C84,CategoryList,0)),"")</f>
        <v/>
      </c>
      <c r="E84" s="110" t="n"/>
      <c r="F84" s="75" t="n"/>
      <c r="G84" s="75" t="n"/>
    </row>
    <row r="85" ht="15.75" customHeight="1" s="52">
      <c r="A85" s="114" t="n"/>
      <c r="B85" s="76" t="n"/>
      <c r="C85" s="76" t="n"/>
      <c r="D85" s="109">
        <f t="array" ref="D85:D85">IFERROR(INDEX(GroupLookup,MATCH(C85,CategoryList,0)),"")</f>
        <v/>
      </c>
      <c r="E85" s="112" t="n"/>
      <c r="F85" s="76" t="n"/>
      <c r="G85" s="76" t="n"/>
    </row>
    <row r="86" ht="15.75" customHeight="1" s="52">
      <c r="A86" s="108" t="n"/>
      <c r="B86" s="75" t="n"/>
      <c r="C86" s="75" t="n"/>
      <c r="D86" s="109">
        <f t="array" ref="D86:D86">IFERROR(INDEX(GroupLookup,MATCH(C86,CategoryList,0)),"")</f>
        <v/>
      </c>
      <c r="E86" s="110" t="n"/>
      <c r="F86" s="75" t="n"/>
      <c r="G86" s="75" t="n"/>
    </row>
    <row r="87" ht="15.75" customHeight="1" s="52">
      <c r="A87" s="114" t="n"/>
      <c r="B87" s="76" t="n"/>
      <c r="C87" s="76" t="n"/>
      <c r="D87" s="109">
        <f t="array" ref="D87:D87">IFERROR(INDEX(GroupLookup,MATCH(C87,CategoryList,0)),"")</f>
        <v/>
      </c>
      <c r="E87" s="112" t="n"/>
      <c r="F87" s="76" t="n"/>
      <c r="G87" s="76" t="n"/>
    </row>
    <row r="88" ht="15.75" customHeight="1" s="52">
      <c r="A88" s="108" t="n"/>
      <c r="B88" s="75" t="n"/>
      <c r="C88" s="75" t="n"/>
      <c r="D88" s="109">
        <f t="array" ref="D88:D88">IFERROR(INDEX(GroupLookup,MATCH(C88,CategoryList,0)),"")</f>
        <v/>
      </c>
      <c r="E88" s="110" t="n"/>
      <c r="F88" s="75" t="n"/>
      <c r="G88" s="75" t="n"/>
    </row>
    <row r="89" ht="15.75" customHeight="1" s="52">
      <c r="A89" s="114" t="n"/>
      <c r="B89" s="76" t="n"/>
      <c r="C89" s="76" t="n"/>
      <c r="D89" s="109">
        <f t="array" ref="D89:D89">IFERROR(INDEX(GroupLookup,MATCH(C89,CategoryList,0)),"")</f>
        <v/>
      </c>
      <c r="E89" s="112" t="n"/>
      <c r="F89" s="76" t="n"/>
      <c r="G89" s="76" t="n"/>
    </row>
    <row r="90" ht="15.75" customHeight="1" s="52">
      <c r="A90" s="108" t="n"/>
      <c r="B90" s="75" t="n"/>
      <c r="C90" s="75" t="n"/>
      <c r="D90" s="109">
        <f t="array" ref="D90:D90">IFERROR(INDEX(GroupLookup,MATCH(C90,CategoryList,0)),"")</f>
        <v/>
      </c>
      <c r="E90" s="110" t="n"/>
      <c r="F90" s="75" t="n"/>
      <c r="G90" s="75" t="n"/>
    </row>
    <row r="91" ht="15.75" customHeight="1" s="52">
      <c r="A91" s="114" t="n"/>
      <c r="B91" s="76" t="n"/>
      <c r="C91" s="76" t="n"/>
      <c r="D91" s="109">
        <f t="array" ref="D91:D91">IFERROR(INDEX(GroupLookup,MATCH(C91,CategoryList,0)),"")</f>
        <v/>
      </c>
      <c r="E91" s="112" t="n"/>
      <c r="F91" s="76" t="n"/>
      <c r="G91" s="76" t="n"/>
    </row>
    <row r="92" ht="15.75" customHeight="1" s="52">
      <c r="A92" s="108" t="n"/>
      <c r="B92" s="75" t="n"/>
      <c r="C92" s="75" t="n"/>
      <c r="D92" s="109">
        <f t="array" ref="D92:D92">IFERROR(INDEX(GroupLookup,MATCH(C92,CategoryList,0)),"")</f>
        <v/>
      </c>
      <c r="E92" s="110" t="n"/>
      <c r="F92" s="75" t="n"/>
      <c r="G92" s="75" t="n"/>
    </row>
    <row r="93" ht="15.75" customHeight="1" s="52">
      <c r="A93" s="114" t="n"/>
      <c r="B93" s="76" t="n"/>
      <c r="C93" s="76" t="n"/>
      <c r="D93" s="109">
        <f t="array" ref="D93:D93">IFERROR(INDEX(GroupLookup,MATCH(C93,CategoryList,0)),"")</f>
        <v/>
      </c>
      <c r="E93" s="112" t="n"/>
      <c r="F93" s="76" t="n"/>
      <c r="G93" s="76" t="n"/>
    </row>
    <row r="94" ht="15.75" customHeight="1" s="52">
      <c r="A94" s="108" t="n"/>
      <c r="B94" s="75" t="n"/>
      <c r="C94" s="75" t="n"/>
      <c r="D94" s="109">
        <f t="array" ref="D94:D94">IFERROR(INDEX(GroupLookup,MATCH(C94,CategoryList,0)),"")</f>
        <v/>
      </c>
      <c r="E94" s="110" t="n"/>
      <c r="F94" s="75" t="n"/>
      <c r="G94" s="75" t="n"/>
    </row>
    <row r="95" ht="15.75" customHeight="1" s="52">
      <c r="A95" s="114" t="n"/>
      <c r="B95" s="76" t="n"/>
      <c r="C95" s="76" t="n"/>
      <c r="D95" s="109">
        <f t="array" ref="D95:D95">IFERROR(INDEX(GroupLookup,MATCH(C95,CategoryList,0)),"")</f>
        <v/>
      </c>
      <c r="E95" s="112" t="n"/>
      <c r="F95" s="76" t="n"/>
      <c r="G95" s="76" t="n"/>
    </row>
    <row r="96" ht="15.75" customHeight="1" s="52">
      <c r="A96" s="108" t="n"/>
      <c r="B96" s="75" t="n"/>
      <c r="C96" s="75" t="n"/>
      <c r="D96" s="109">
        <f t="array" ref="D96:D96">IFERROR(INDEX(GroupLookup,MATCH(C96,CategoryList,0)),"")</f>
        <v/>
      </c>
      <c r="E96" s="110" t="n"/>
      <c r="F96" s="75" t="n"/>
      <c r="G96" s="75" t="n"/>
    </row>
    <row r="97" ht="15.75" customHeight="1" s="52">
      <c r="A97" s="114" t="n"/>
      <c r="B97" s="76" t="n"/>
      <c r="C97" s="76" t="n"/>
      <c r="D97" s="109">
        <f t="array" ref="D97:D97">IFERROR(INDEX(GroupLookup,MATCH(C97,CategoryList,0)),"")</f>
        <v/>
      </c>
      <c r="E97" s="112" t="n"/>
      <c r="F97" s="76" t="n"/>
      <c r="G97" s="76" t="n"/>
    </row>
    <row r="98" ht="15.75" customHeight="1" s="52">
      <c r="A98" s="108" t="n"/>
      <c r="B98" s="75" t="n"/>
      <c r="C98" s="75" t="n"/>
      <c r="D98" s="109">
        <f t="array" ref="D98:D98">IFERROR(INDEX(GroupLookup,MATCH(C98,CategoryList,0)),"")</f>
        <v/>
      </c>
      <c r="E98" s="110" t="n"/>
      <c r="F98" s="75" t="n"/>
      <c r="G98" s="75" t="n"/>
    </row>
    <row r="99" ht="15.75" customHeight="1" s="52">
      <c r="A99" s="114" t="n"/>
      <c r="B99" s="76" t="n"/>
      <c r="C99" s="76" t="n"/>
      <c r="D99" s="109">
        <f t="array" ref="D99:D99">IFERROR(INDEX(GroupLookup,MATCH(C99,CategoryList,0)),"")</f>
        <v/>
      </c>
      <c r="E99" s="112" t="n"/>
      <c r="F99" s="76" t="n"/>
      <c r="G99" s="76" t="n"/>
    </row>
    <row r="100" ht="15.75" customHeight="1" s="52">
      <c r="A100" s="108" t="n"/>
      <c r="B100" s="75" t="n"/>
      <c r="C100" s="75" t="n"/>
      <c r="D100" s="109">
        <f t="array" ref="D100:D100">IFERROR(INDEX(GroupLookup,MATCH(C100,CategoryList,0)),"")</f>
        <v/>
      </c>
      <c r="E100" s="110" t="n"/>
      <c r="F100" s="75" t="n"/>
      <c r="G100" s="75" t="n"/>
    </row>
    <row r="101" ht="15.75" customHeight="1" s="52">
      <c r="A101" s="114" t="n"/>
      <c r="B101" s="76" t="n"/>
      <c r="C101" s="76" t="n"/>
      <c r="D101" s="109">
        <f t="array" ref="D101:D101">IFERROR(INDEX(GroupLookup,MATCH(C101,CategoryList,0)),"")</f>
        <v/>
      </c>
      <c r="E101" s="112" t="n"/>
      <c r="F101" s="76" t="n"/>
      <c r="G101" s="76" t="n"/>
    </row>
    <row r="102" ht="15.75" customHeight="1" s="52">
      <c r="A102" s="108" t="n"/>
      <c r="B102" s="75" t="n"/>
      <c r="C102" s="75" t="n"/>
      <c r="D102" s="109">
        <f t="array" ref="D102:D102">IFERROR(INDEX(GroupLookup,MATCH(C102,CategoryList,0)),"")</f>
        <v/>
      </c>
      <c r="E102" s="110" t="n"/>
      <c r="F102" s="75" t="n"/>
      <c r="G102" s="75" t="n"/>
    </row>
    <row r="103" ht="15.75" customHeight="1" s="52">
      <c r="A103" s="114" t="n"/>
      <c r="B103" s="76" t="n"/>
      <c r="C103" s="76" t="n"/>
      <c r="D103" s="109">
        <f t="array" ref="D103:D103">IFERROR(INDEX(GroupLookup,MATCH(C103,CategoryList,0)),"")</f>
        <v/>
      </c>
      <c r="E103" s="112" t="n"/>
      <c r="F103" s="76" t="n"/>
      <c r="G103" s="76" t="n"/>
    </row>
    <row r="104" ht="15.75" customHeight="1" s="52">
      <c r="A104" s="108" t="n"/>
      <c r="B104" s="75" t="n"/>
      <c r="C104" s="75" t="n"/>
      <c r="D104" s="109">
        <f t="array" ref="D104:D104">IFERROR(INDEX(GroupLookup,MATCH(C104,CategoryList,0)),"")</f>
        <v/>
      </c>
      <c r="E104" s="110" t="n"/>
      <c r="F104" s="75" t="n"/>
      <c r="G104" s="75" t="n"/>
    </row>
    <row r="105" ht="15.75" customHeight="1" s="52">
      <c r="A105" s="114" t="n"/>
      <c r="B105" s="76" t="n"/>
      <c r="C105" s="76" t="n"/>
      <c r="D105" s="109">
        <f t="array" ref="D105:D105">IFERROR(INDEX(GroupLookup,MATCH(C105,CategoryList,0)),"")</f>
        <v/>
      </c>
      <c r="E105" s="112" t="n"/>
      <c r="F105" s="76" t="n"/>
      <c r="G105" s="76" t="n"/>
    </row>
    <row r="106" ht="15.75" customHeight="1" s="52">
      <c r="A106" s="108" t="n"/>
      <c r="B106" s="75" t="n"/>
      <c r="C106" s="75" t="n"/>
      <c r="D106" s="109">
        <f t="array" ref="D106:D106">IFERROR(INDEX(GroupLookup,MATCH(C106,CategoryList,0)),"")</f>
        <v/>
      </c>
      <c r="E106" s="110" t="n"/>
      <c r="F106" s="75" t="n"/>
      <c r="G106" s="75" t="n"/>
    </row>
    <row r="107" ht="15.75" customHeight="1" s="52">
      <c r="A107" s="114" t="n"/>
      <c r="B107" s="76" t="n"/>
      <c r="C107" s="76" t="n"/>
      <c r="D107" s="109">
        <f t="array" ref="D107:D107">IFERROR(INDEX(GroupLookup,MATCH(C107,CategoryList,0)),"")</f>
        <v/>
      </c>
      <c r="E107" s="112" t="n"/>
      <c r="F107" s="76" t="n"/>
      <c r="G107" s="76" t="n"/>
    </row>
    <row r="108" ht="15.75" customHeight="1" s="52">
      <c r="A108" s="108" t="n"/>
      <c r="B108" s="75" t="n"/>
      <c r="C108" s="75" t="n"/>
      <c r="D108" s="109">
        <f t="array" ref="D108:D108">IFERROR(INDEX(GroupLookup,MATCH(C108,CategoryList,0)),"")</f>
        <v/>
      </c>
      <c r="E108" s="110" t="n"/>
      <c r="F108" s="75" t="n"/>
      <c r="G108" s="75" t="n"/>
    </row>
    <row r="109" ht="15.75" customHeight="1" s="52">
      <c r="A109" s="114" t="n"/>
      <c r="B109" s="76" t="n"/>
      <c r="C109" s="76" t="n"/>
      <c r="D109" s="109">
        <f t="array" ref="D109:D109">IFERROR(INDEX(GroupLookup,MATCH(C109,CategoryList,0)),"")</f>
        <v/>
      </c>
      <c r="E109" s="112" t="n"/>
      <c r="F109" s="76" t="n"/>
      <c r="G109" s="76" t="n"/>
    </row>
    <row r="110" ht="15.75" customHeight="1" s="52">
      <c r="A110" s="108" t="n"/>
      <c r="B110" s="75" t="n"/>
      <c r="C110" s="75" t="n"/>
      <c r="D110" s="109">
        <f t="array" ref="D110:D110">IFERROR(INDEX(GroupLookup,MATCH(C110,CategoryList,0)),"")</f>
        <v/>
      </c>
      <c r="E110" s="110" t="n"/>
      <c r="F110" s="75" t="n"/>
      <c r="G110" s="75" t="n"/>
    </row>
    <row r="111" ht="15.75" customHeight="1" s="52">
      <c r="A111" s="114" t="n"/>
      <c r="B111" s="76" t="n"/>
      <c r="C111" s="76" t="n"/>
      <c r="D111" s="109">
        <f t="array" ref="D111:D111">IFERROR(INDEX(GroupLookup,MATCH(C111,CategoryList,0)),"")</f>
        <v/>
      </c>
      <c r="E111" s="112" t="n"/>
      <c r="F111" s="76" t="n"/>
      <c r="G111" s="76" t="n"/>
    </row>
    <row r="112" ht="15.75" customHeight="1" s="52">
      <c r="A112" s="108" t="n"/>
      <c r="B112" s="75" t="n"/>
      <c r="C112" s="75" t="n"/>
      <c r="D112" s="109">
        <f t="array" ref="D112:D112">IFERROR(INDEX(GroupLookup,MATCH(C112,CategoryList,0)),"")</f>
        <v/>
      </c>
      <c r="E112" s="110" t="n"/>
      <c r="F112" s="75" t="n"/>
      <c r="G112" s="75" t="n"/>
    </row>
    <row r="113" ht="15.75" customHeight="1" s="52">
      <c r="A113" s="114" t="n"/>
      <c r="B113" s="76" t="n"/>
      <c r="C113" s="76" t="n"/>
      <c r="D113" s="109">
        <f t="array" ref="D113:D113">IFERROR(INDEX(GroupLookup,MATCH(C113,CategoryList,0)),"")</f>
        <v/>
      </c>
      <c r="E113" s="112" t="n"/>
      <c r="F113" s="76" t="n"/>
      <c r="G113" s="76" t="n"/>
    </row>
    <row r="114" ht="15.75" customHeight="1" s="52">
      <c r="A114" s="108" t="n"/>
      <c r="B114" s="75" t="n"/>
      <c r="C114" s="75" t="n"/>
      <c r="D114" s="109">
        <f t="array" ref="D114:D114">IFERROR(INDEX(GroupLookup,MATCH(C114,CategoryList,0)),"")</f>
        <v/>
      </c>
      <c r="E114" s="110" t="n"/>
      <c r="F114" s="75" t="n"/>
      <c r="G114" s="75" t="n"/>
    </row>
    <row r="115" ht="15.75" customHeight="1" s="52">
      <c r="A115" s="114" t="n"/>
      <c r="B115" s="76" t="n"/>
      <c r="C115" s="76" t="n"/>
      <c r="D115" s="109">
        <f t="array" ref="D115:D115">IFERROR(INDEX(GroupLookup,MATCH(C115,CategoryList,0)),"")</f>
        <v/>
      </c>
      <c r="E115" s="112" t="n"/>
      <c r="F115" s="76" t="n"/>
      <c r="G115" s="76" t="n"/>
    </row>
    <row r="116" ht="15.75" customHeight="1" s="52">
      <c r="A116" s="108" t="n"/>
      <c r="B116" s="75" t="n"/>
      <c r="C116" s="75" t="n"/>
      <c r="D116" s="109">
        <f t="array" ref="D116:D116">IFERROR(INDEX(GroupLookup,MATCH(C116,CategoryList,0)),"")</f>
        <v/>
      </c>
      <c r="E116" s="110" t="n"/>
      <c r="F116" s="75" t="n"/>
      <c r="G116" s="75" t="n"/>
    </row>
    <row r="117" ht="15.75" customHeight="1" s="52">
      <c r="A117" s="114" t="n"/>
      <c r="B117" s="76" t="n"/>
      <c r="C117" s="76" t="n"/>
      <c r="D117" s="109">
        <f t="array" ref="D117:D117">IFERROR(INDEX(GroupLookup,MATCH(C117,CategoryList,0)),"")</f>
        <v/>
      </c>
      <c r="E117" s="112" t="n"/>
      <c r="F117" s="76" t="n"/>
      <c r="G117" s="76" t="n"/>
    </row>
    <row r="118" ht="15.75" customHeight="1" s="52">
      <c r="A118" s="108" t="n"/>
      <c r="B118" s="75" t="n"/>
      <c r="C118" s="75" t="n"/>
      <c r="D118" s="109">
        <f t="array" ref="D118:D118">IFERROR(INDEX(GroupLookup,MATCH(C118,CategoryList,0)),"")</f>
        <v/>
      </c>
      <c r="E118" s="110" t="n"/>
      <c r="F118" s="75" t="n"/>
      <c r="G118" s="75" t="n"/>
    </row>
    <row r="119" ht="15.75" customHeight="1" s="52">
      <c r="A119" s="114" t="n"/>
      <c r="B119" s="76" t="n"/>
      <c r="C119" s="76" t="n"/>
      <c r="D119" s="109">
        <f t="array" ref="D119:D119">IFERROR(INDEX(GroupLookup,MATCH(C119,CategoryList,0)),"")</f>
        <v/>
      </c>
      <c r="E119" s="112" t="n"/>
      <c r="F119" s="76" t="n"/>
      <c r="G119" s="76" t="n"/>
    </row>
    <row r="120" ht="15.75" customHeight="1" s="52">
      <c r="A120" s="108" t="n"/>
      <c r="B120" s="75" t="n"/>
      <c r="C120" s="75" t="n"/>
      <c r="D120" s="109">
        <f t="array" ref="D120:D120">IFERROR(INDEX(GroupLookup,MATCH(C120,CategoryList,0)),"")</f>
        <v/>
      </c>
      <c r="E120" s="110" t="n"/>
      <c r="F120" s="75" t="n"/>
      <c r="G120" s="75" t="n"/>
    </row>
    <row r="121" ht="15.75" customHeight="1" s="52">
      <c r="A121" s="114" t="n"/>
      <c r="B121" s="76" t="n"/>
      <c r="C121" s="76" t="n"/>
      <c r="D121" s="109">
        <f t="array" ref="D121:D121">IFERROR(INDEX(GroupLookup,MATCH(C121,CategoryList,0)),"")</f>
        <v/>
      </c>
      <c r="E121" s="112" t="n"/>
      <c r="F121" s="76" t="n"/>
      <c r="G121" s="76" t="n"/>
    </row>
    <row r="122" ht="15.75" customHeight="1" s="52">
      <c r="A122" s="108" t="n"/>
      <c r="B122" s="75" t="n"/>
      <c r="C122" s="75" t="n"/>
      <c r="D122" s="109">
        <f t="array" ref="D122:D122">IFERROR(INDEX(GroupLookup,MATCH(C122,CategoryList,0)),"")</f>
        <v/>
      </c>
      <c r="E122" s="110" t="n"/>
      <c r="F122" s="75" t="n"/>
      <c r="G122" s="75" t="n"/>
    </row>
    <row r="123" ht="15.75" customHeight="1" s="52">
      <c r="A123" s="114" t="n"/>
      <c r="B123" s="76" t="n"/>
      <c r="C123" s="76" t="n"/>
      <c r="D123" s="109">
        <f t="array" ref="D123:D123">IFERROR(INDEX(GroupLookup,MATCH(C123,CategoryList,0)),"")</f>
        <v/>
      </c>
      <c r="E123" s="112" t="n"/>
      <c r="F123" s="76" t="n"/>
      <c r="G123" s="76" t="n"/>
    </row>
    <row r="124" ht="15.75" customHeight="1" s="52">
      <c r="A124" s="108" t="n"/>
      <c r="B124" s="75" t="n"/>
      <c r="C124" s="75" t="n"/>
      <c r="D124" s="109">
        <f t="array" ref="D124:D124">IFERROR(INDEX(GroupLookup,MATCH(C124,CategoryList,0)),"")</f>
        <v/>
      </c>
      <c r="E124" s="110" t="n"/>
      <c r="F124" s="75" t="n"/>
      <c r="G124" s="75" t="n"/>
    </row>
    <row r="125" ht="15.75" customHeight="1" s="52">
      <c r="A125" s="114" t="n"/>
      <c r="B125" s="76" t="n"/>
      <c r="C125" s="76" t="n"/>
      <c r="D125" s="109">
        <f t="array" ref="D125:D125">IFERROR(INDEX(GroupLookup,MATCH(C125,CategoryList,0)),"")</f>
        <v/>
      </c>
      <c r="E125" s="112" t="n"/>
      <c r="F125" s="76" t="n"/>
      <c r="G125" s="76" t="n"/>
    </row>
    <row r="126" ht="15.75" customHeight="1" s="52">
      <c r="A126" s="108" t="n"/>
      <c r="B126" s="75" t="n"/>
      <c r="C126" s="75" t="n"/>
      <c r="D126" s="109">
        <f t="array" ref="D126:D126">IFERROR(INDEX(GroupLookup,MATCH(C126,CategoryList,0)),"")</f>
        <v/>
      </c>
      <c r="E126" s="110" t="n"/>
      <c r="F126" s="75" t="n"/>
      <c r="G126" s="75" t="n"/>
    </row>
    <row r="127" ht="15.75" customHeight="1" s="52">
      <c r="A127" s="114" t="n"/>
      <c r="B127" s="76" t="n"/>
      <c r="C127" s="76" t="n"/>
      <c r="D127" s="109">
        <f t="array" ref="D127:D127">IFERROR(INDEX(GroupLookup,MATCH(C127,CategoryList,0)),"")</f>
        <v/>
      </c>
      <c r="E127" s="112" t="n"/>
      <c r="F127" s="76" t="n"/>
      <c r="G127" s="76" t="n"/>
    </row>
    <row r="128" ht="15.75" customHeight="1" s="52">
      <c r="A128" s="108" t="n"/>
      <c r="B128" s="75" t="n"/>
      <c r="C128" s="75" t="n"/>
      <c r="D128" s="109">
        <f t="array" ref="D128:D128">IFERROR(INDEX(GroupLookup,MATCH(C128,CategoryList,0)),"")</f>
        <v/>
      </c>
      <c r="E128" s="110" t="n"/>
      <c r="F128" s="75" t="n"/>
      <c r="G128" s="75" t="n"/>
    </row>
    <row r="129" ht="15.75" customHeight="1" s="52">
      <c r="A129" s="114" t="n"/>
      <c r="B129" s="76" t="n"/>
      <c r="C129" s="76" t="n"/>
      <c r="D129" s="109">
        <f t="array" ref="D129:D129">IFERROR(INDEX(GroupLookup,MATCH(C129,CategoryList,0)),"")</f>
        <v/>
      </c>
      <c r="E129" s="112" t="n"/>
      <c r="F129" s="76" t="n"/>
      <c r="G129" s="76" t="n"/>
    </row>
    <row r="130" ht="15.75" customHeight="1" s="52">
      <c r="A130" s="108" t="n"/>
      <c r="B130" s="75" t="n"/>
      <c r="C130" s="75" t="n"/>
      <c r="D130" s="109">
        <f t="array" ref="D130:D130">IFERROR(INDEX(GroupLookup,MATCH(C130,CategoryList,0)),"")</f>
        <v/>
      </c>
      <c r="E130" s="110" t="n"/>
      <c r="F130" s="75" t="n"/>
      <c r="G130" s="75" t="n"/>
    </row>
    <row r="131" ht="15.75" customHeight="1" s="52">
      <c r="A131" s="114" t="n"/>
      <c r="B131" s="76" t="n"/>
      <c r="C131" s="76" t="n"/>
      <c r="D131" s="109">
        <f t="array" ref="D131:D131">IFERROR(INDEX(GroupLookup,MATCH(C131,CategoryList,0)),"")</f>
        <v/>
      </c>
      <c r="E131" s="112" t="n"/>
      <c r="F131" s="76" t="n"/>
      <c r="G131" s="76" t="n"/>
    </row>
    <row r="132" ht="15.75" customHeight="1" s="52">
      <c r="A132" s="108" t="n"/>
      <c r="B132" s="75" t="n"/>
      <c r="C132" s="75" t="n"/>
      <c r="D132" s="109">
        <f t="array" ref="D132:D132">IFERROR(INDEX(GroupLookup,MATCH(C132,CategoryList,0)),"")</f>
        <v/>
      </c>
      <c r="E132" s="110" t="n"/>
      <c r="F132" s="75" t="n"/>
      <c r="G132" s="75" t="n"/>
    </row>
    <row r="133" ht="15.75" customHeight="1" s="52">
      <c r="A133" s="114" t="n"/>
      <c r="B133" s="76" t="n"/>
      <c r="C133" s="76" t="n"/>
      <c r="D133" s="109">
        <f t="array" ref="D133:D133">IFERROR(INDEX(GroupLookup,MATCH(C133,CategoryList,0)),"")</f>
        <v/>
      </c>
      <c r="E133" s="112" t="n"/>
      <c r="F133" s="76" t="n"/>
      <c r="G133" s="76" t="n"/>
    </row>
    <row r="134" ht="15.75" customHeight="1" s="52">
      <c r="A134" s="108" t="n"/>
      <c r="B134" s="75" t="n"/>
      <c r="C134" s="75" t="n"/>
      <c r="D134" s="109">
        <f t="array" ref="D134:D134">IFERROR(INDEX(GroupLookup,MATCH(C134,CategoryList,0)),"")</f>
        <v/>
      </c>
      <c r="E134" s="110" t="n"/>
      <c r="F134" s="75" t="n"/>
      <c r="G134" s="75" t="n"/>
    </row>
    <row r="135" ht="15.75" customHeight="1" s="52">
      <c r="A135" s="114" t="n"/>
      <c r="B135" s="76" t="n"/>
      <c r="C135" s="76" t="n"/>
      <c r="D135" s="109">
        <f t="array" ref="D135:D135">IFERROR(INDEX(GroupLookup,MATCH(C135,CategoryList,0)),"")</f>
        <v/>
      </c>
      <c r="E135" s="112" t="n"/>
      <c r="F135" s="76" t="n"/>
      <c r="G135" s="76" t="n"/>
    </row>
    <row r="136" ht="15.75" customHeight="1" s="52">
      <c r="A136" s="108" t="n"/>
      <c r="B136" s="75" t="n"/>
      <c r="C136" s="75" t="n"/>
      <c r="D136" s="109">
        <f t="array" ref="D136:D136">IFERROR(INDEX(GroupLookup,MATCH(C136,CategoryList,0)),"")</f>
        <v/>
      </c>
      <c r="E136" s="110" t="n"/>
      <c r="F136" s="75" t="n"/>
      <c r="G136" s="75" t="n"/>
    </row>
    <row r="137" ht="15.75" customHeight="1" s="52">
      <c r="A137" s="114" t="n"/>
      <c r="B137" s="76" t="n"/>
      <c r="C137" s="76" t="n"/>
      <c r="D137" s="109">
        <f t="array" ref="D137:D137">IFERROR(INDEX(GroupLookup,MATCH(C137,CategoryList,0)),"")</f>
        <v/>
      </c>
      <c r="E137" s="112" t="n"/>
      <c r="F137" s="76" t="n"/>
      <c r="G137" s="76" t="n"/>
    </row>
    <row r="138" ht="15.75" customHeight="1" s="52">
      <c r="A138" s="108" t="n"/>
      <c r="B138" s="75" t="n"/>
      <c r="C138" s="75" t="n"/>
      <c r="D138" s="109">
        <f t="array" ref="D138:D138">IFERROR(INDEX(GroupLookup,MATCH(C138,CategoryList,0)),"")</f>
        <v/>
      </c>
      <c r="E138" s="110" t="n"/>
      <c r="F138" s="75" t="n"/>
      <c r="G138" s="75" t="n"/>
    </row>
    <row r="139" ht="15.75" customHeight="1" s="52">
      <c r="A139" s="114" t="n"/>
      <c r="B139" s="76" t="n"/>
      <c r="C139" s="76" t="n"/>
      <c r="D139" s="109">
        <f t="array" ref="D139:D139">IFERROR(INDEX(GroupLookup,MATCH(C139,CategoryList,0)),"")</f>
        <v/>
      </c>
      <c r="E139" s="112" t="n"/>
      <c r="F139" s="76" t="n"/>
      <c r="G139" s="76" t="n"/>
    </row>
    <row r="140" ht="15.75" customHeight="1" s="52">
      <c r="A140" s="108" t="n"/>
      <c r="B140" s="75" t="n"/>
      <c r="C140" s="75" t="n"/>
      <c r="D140" s="109">
        <f t="array" ref="D140:D140">IFERROR(INDEX(GroupLookup,MATCH(C140,CategoryList,0)),"")</f>
        <v/>
      </c>
      <c r="E140" s="110" t="n"/>
      <c r="F140" s="75" t="n"/>
      <c r="G140" s="75" t="n"/>
    </row>
    <row r="141" ht="15.75" customHeight="1" s="52">
      <c r="A141" s="114" t="n"/>
      <c r="B141" s="76" t="n"/>
      <c r="C141" s="76" t="n"/>
      <c r="D141" s="109">
        <f t="array" ref="D141:D141">IFERROR(INDEX(GroupLookup,MATCH(C141,CategoryList,0)),"")</f>
        <v/>
      </c>
      <c r="E141" s="112" t="n"/>
      <c r="F141" s="76" t="n"/>
      <c r="G141" s="76" t="n"/>
    </row>
    <row r="142" ht="15.75" customHeight="1" s="52">
      <c r="A142" s="108" t="n"/>
      <c r="B142" s="75" t="n"/>
      <c r="C142" s="75" t="n"/>
      <c r="D142" s="109">
        <f t="array" ref="D142:D142">IFERROR(INDEX(GroupLookup,MATCH(C142,CategoryList,0)),"")</f>
        <v/>
      </c>
      <c r="E142" s="110" t="n"/>
      <c r="F142" s="75" t="n"/>
      <c r="G142" s="75" t="n"/>
    </row>
    <row r="143" ht="15.75" customHeight="1" s="52">
      <c r="A143" s="114" t="n"/>
      <c r="B143" s="76" t="n"/>
      <c r="C143" s="76" t="n"/>
      <c r="D143" s="109">
        <f t="array" ref="D143:D143">IFERROR(INDEX(GroupLookup,MATCH(C143,CategoryList,0)),"")</f>
        <v/>
      </c>
      <c r="E143" s="112" t="n"/>
      <c r="F143" s="76" t="n"/>
      <c r="G143" s="76" t="n"/>
    </row>
    <row r="144" ht="15.75" customHeight="1" s="52">
      <c r="A144" s="108" t="n"/>
      <c r="B144" s="75" t="n"/>
      <c r="C144" s="75" t="n"/>
      <c r="D144" s="109">
        <f t="array" ref="D144:D144">IFERROR(INDEX(GroupLookup,MATCH(C144,CategoryList,0)),"")</f>
        <v/>
      </c>
      <c r="E144" s="110" t="n"/>
      <c r="F144" s="75" t="n"/>
      <c r="G144" s="75" t="n"/>
    </row>
    <row r="145" ht="15.75" customHeight="1" s="52">
      <c r="A145" s="114" t="n"/>
      <c r="B145" s="76" t="n"/>
      <c r="C145" s="76" t="n"/>
      <c r="D145" s="109">
        <f t="array" ref="D145:D145">IFERROR(INDEX(GroupLookup,MATCH(C145,CategoryList,0)),"")</f>
        <v/>
      </c>
      <c r="E145" s="112" t="n"/>
      <c r="F145" s="76" t="n"/>
      <c r="G145" s="76" t="n"/>
    </row>
    <row r="146" ht="15.75" customHeight="1" s="52">
      <c r="A146" s="108" t="n"/>
      <c r="B146" s="75" t="n"/>
      <c r="C146" s="75" t="n"/>
      <c r="D146" s="109">
        <f t="array" ref="D146:D146">IFERROR(INDEX(GroupLookup,MATCH(C146,CategoryList,0)),"")</f>
        <v/>
      </c>
      <c r="E146" s="110" t="n"/>
      <c r="F146" s="75" t="n"/>
      <c r="G146" s="75" t="n"/>
    </row>
    <row r="147" ht="15.75" customHeight="1" s="52">
      <c r="A147" s="114" t="n"/>
      <c r="B147" s="76" t="n"/>
      <c r="C147" s="76" t="n"/>
      <c r="D147" s="109">
        <f t="array" ref="D147:D147">IFERROR(INDEX(GroupLookup,MATCH(C147,CategoryList,0)),"")</f>
        <v/>
      </c>
      <c r="E147" s="112" t="n"/>
      <c r="F147" s="76" t="n"/>
      <c r="G147" s="76" t="n"/>
    </row>
    <row r="148" ht="15.75" customHeight="1" s="52">
      <c r="A148" s="108" t="n"/>
      <c r="B148" s="75" t="n"/>
      <c r="C148" s="75" t="n"/>
      <c r="D148" s="109">
        <f t="array" ref="D148:D148">IFERROR(INDEX(GroupLookup,MATCH(C148,CategoryList,0)),"")</f>
        <v/>
      </c>
      <c r="E148" s="110" t="n"/>
      <c r="F148" s="75" t="n"/>
      <c r="G148" s="75" t="n"/>
    </row>
    <row r="149" ht="15.75" customHeight="1" s="52">
      <c r="A149" s="114" t="n"/>
      <c r="B149" s="76" t="n"/>
      <c r="C149" s="76" t="n"/>
      <c r="D149" s="109">
        <f t="array" ref="D149:D149">IFERROR(INDEX(GroupLookup,MATCH(C149,CategoryList,0)),"")</f>
        <v/>
      </c>
      <c r="E149" s="112" t="n"/>
      <c r="F149" s="76" t="n"/>
      <c r="G149" s="76" t="n"/>
    </row>
    <row r="150" ht="15.75" customHeight="1" s="52">
      <c r="A150" s="108" t="n"/>
      <c r="B150" s="75" t="n"/>
      <c r="C150" s="75" t="n"/>
      <c r="D150" s="109">
        <f t="array" ref="D150:D150">IFERROR(INDEX(GroupLookup,MATCH(C150,CategoryList,0)),"")</f>
        <v/>
      </c>
      <c r="E150" s="110" t="n"/>
      <c r="F150" s="75" t="n"/>
      <c r="G150" s="75" t="n"/>
    </row>
    <row r="151" ht="15.75" customHeight="1" s="52">
      <c r="A151" s="114" t="n"/>
      <c r="B151" s="76" t="n"/>
      <c r="C151" s="76" t="n"/>
      <c r="D151" s="109">
        <f t="array" ref="D151:D151">IFERROR(INDEX(GroupLookup,MATCH(C151,CategoryList,0)),"")</f>
        <v/>
      </c>
      <c r="E151" s="112" t="n"/>
      <c r="F151" s="76" t="n"/>
      <c r="G151" s="76" t="n"/>
    </row>
    <row r="152" ht="15.75" customHeight="1" s="52">
      <c r="A152" s="108" t="n"/>
      <c r="B152" s="75" t="n"/>
      <c r="C152" s="75" t="n"/>
      <c r="D152" s="109">
        <f t="array" ref="D152:D152">IFERROR(INDEX(GroupLookup,MATCH(C152,CategoryList,0)),"")</f>
        <v/>
      </c>
      <c r="E152" s="110" t="n"/>
      <c r="F152" s="75" t="n"/>
      <c r="G152" s="75" t="n"/>
    </row>
    <row r="153" ht="15.75" customHeight="1" s="52">
      <c r="A153" s="114" t="n"/>
      <c r="B153" s="76" t="n"/>
      <c r="C153" s="76" t="n"/>
      <c r="D153" s="109">
        <f t="array" ref="D153:D153">IFERROR(INDEX(GroupLookup,MATCH(C153,CategoryList,0)),"")</f>
        <v/>
      </c>
      <c r="E153" s="112" t="n"/>
      <c r="F153" s="76" t="n"/>
      <c r="G153" s="76" t="n"/>
    </row>
    <row r="154" ht="15.75" customHeight="1" s="52">
      <c r="A154" s="108" t="n"/>
      <c r="B154" s="75" t="n"/>
      <c r="C154" s="75" t="n"/>
      <c r="D154" s="109">
        <f t="array" ref="D154:D154">IFERROR(INDEX(GroupLookup,MATCH(C154,CategoryList,0)),"")</f>
        <v/>
      </c>
      <c r="E154" s="110" t="n"/>
      <c r="F154" s="75" t="n"/>
      <c r="G154" s="75" t="n"/>
    </row>
    <row r="155" ht="15.75" customHeight="1" s="52">
      <c r="A155" s="114" t="n"/>
      <c r="B155" s="76" t="n"/>
      <c r="C155" s="76" t="n"/>
      <c r="D155" s="109">
        <f t="array" ref="D155:D155">IFERROR(INDEX(GroupLookup,MATCH(C155,CategoryList,0)),"")</f>
        <v/>
      </c>
      <c r="E155" s="112" t="n"/>
      <c r="F155" s="76" t="n"/>
      <c r="G155" s="76" t="n"/>
    </row>
    <row r="156" ht="15.75" customHeight="1" s="52">
      <c r="A156" s="108" t="n"/>
      <c r="B156" s="75" t="n"/>
      <c r="C156" s="75" t="n"/>
      <c r="D156" s="109">
        <f t="array" ref="D156:D156">IFERROR(INDEX(GroupLookup,MATCH(C156,CategoryList,0)),"")</f>
        <v/>
      </c>
      <c r="E156" s="110" t="n"/>
      <c r="F156" s="75" t="n"/>
      <c r="G156" s="75" t="n"/>
    </row>
    <row r="157" ht="15.75" customHeight="1" s="52">
      <c r="A157" s="114" t="n"/>
      <c r="B157" s="76" t="n"/>
      <c r="C157" s="76" t="n"/>
      <c r="D157" s="109">
        <f t="array" ref="D157:D157">IFERROR(INDEX(GroupLookup,MATCH(C157,CategoryList,0)),"")</f>
        <v/>
      </c>
      <c r="E157" s="112" t="n"/>
      <c r="F157" s="76" t="n"/>
      <c r="G157" s="76" t="n"/>
    </row>
    <row r="158" ht="15.75" customHeight="1" s="52">
      <c r="A158" s="108" t="n"/>
      <c r="B158" s="75" t="n"/>
      <c r="C158" s="75" t="n"/>
      <c r="D158" s="109">
        <f t="array" ref="D158:D158">IFERROR(INDEX(GroupLookup,MATCH(C158,CategoryList,0)),"")</f>
        <v/>
      </c>
      <c r="E158" s="110" t="n"/>
      <c r="F158" s="75" t="n"/>
      <c r="G158" s="75" t="n"/>
    </row>
    <row r="159" ht="15.75" customHeight="1" s="52">
      <c r="A159" s="114" t="n"/>
      <c r="B159" s="76" t="n"/>
      <c r="C159" s="76" t="n"/>
      <c r="D159" s="109">
        <f t="array" ref="D159:D159">IFERROR(INDEX(GroupLookup,MATCH(C159,CategoryList,0)),"")</f>
        <v/>
      </c>
      <c r="E159" s="112" t="n"/>
      <c r="F159" s="76" t="n"/>
      <c r="G159" s="76" t="n"/>
    </row>
    <row r="160" ht="15.75" customHeight="1" s="52">
      <c r="A160" s="108" t="n"/>
      <c r="B160" s="75" t="n"/>
      <c r="C160" s="75" t="n"/>
      <c r="D160" s="109">
        <f t="array" ref="D160:D160">IFERROR(INDEX(GroupLookup,MATCH(C160,CategoryList,0)),"")</f>
        <v/>
      </c>
      <c r="E160" s="110" t="n"/>
      <c r="F160" s="75" t="n"/>
      <c r="G160" s="75" t="n"/>
    </row>
    <row r="161" ht="15.75" customHeight="1" s="52">
      <c r="A161" s="114" t="n"/>
      <c r="B161" s="76" t="n"/>
      <c r="C161" s="76" t="n"/>
      <c r="D161" s="109">
        <f t="array" ref="D161:D161">IFERROR(INDEX(GroupLookup,MATCH(C161,CategoryList,0)),"")</f>
        <v/>
      </c>
      <c r="E161" s="112" t="n"/>
      <c r="F161" s="76" t="n"/>
      <c r="G161" s="76" t="n"/>
    </row>
    <row r="162" ht="15.75" customHeight="1" s="52">
      <c r="A162" s="108" t="n"/>
      <c r="B162" s="75" t="n"/>
      <c r="C162" s="75" t="n"/>
      <c r="D162" s="109">
        <f t="array" ref="D162:D162">IFERROR(INDEX(GroupLookup,MATCH(C162,CategoryList,0)),"")</f>
        <v/>
      </c>
      <c r="E162" s="110" t="n"/>
      <c r="F162" s="75" t="n"/>
      <c r="G162" s="75" t="n"/>
    </row>
    <row r="163" ht="15.75" customHeight="1" s="52">
      <c r="A163" s="114" t="n"/>
      <c r="B163" s="76" t="n"/>
      <c r="C163" s="76" t="n"/>
      <c r="D163" s="109">
        <f t="array" ref="D163:D163">IFERROR(INDEX(GroupLookup,MATCH(C163,CategoryList,0)),"")</f>
        <v/>
      </c>
      <c r="E163" s="112" t="n"/>
      <c r="F163" s="76" t="n"/>
      <c r="G163" s="76" t="n"/>
    </row>
    <row r="164" ht="15.75" customHeight="1" s="52">
      <c r="A164" s="108" t="n"/>
      <c r="B164" s="75" t="n"/>
      <c r="C164" s="75" t="n"/>
      <c r="D164" s="109">
        <f t="array" ref="D164:D164">IFERROR(INDEX(GroupLookup,MATCH(C164,CategoryList,0)),"")</f>
        <v/>
      </c>
      <c r="E164" s="110" t="n"/>
      <c r="F164" s="75" t="n"/>
      <c r="G164" s="75" t="n"/>
    </row>
    <row r="165" ht="15.75" customHeight="1" s="52">
      <c r="A165" s="114" t="n"/>
      <c r="B165" s="76" t="n"/>
      <c r="C165" s="76" t="n"/>
      <c r="D165" s="109">
        <f t="array" ref="D165:D165">IFERROR(INDEX(GroupLookup,MATCH(C165,CategoryList,0)),"")</f>
        <v/>
      </c>
      <c r="E165" s="112" t="n"/>
      <c r="F165" s="76" t="n"/>
      <c r="G165" s="76" t="n"/>
    </row>
    <row r="166" ht="15.75" customHeight="1" s="52">
      <c r="A166" s="108" t="n"/>
      <c r="B166" s="75" t="n"/>
      <c r="C166" s="75" t="n"/>
      <c r="D166" s="109">
        <f t="array" ref="D166:D166">IFERROR(INDEX(GroupLookup,MATCH(C166,CategoryList,0)),"")</f>
        <v/>
      </c>
      <c r="E166" s="110" t="n"/>
      <c r="F166" s="75" t="n"/>
      <c r="G166" s="75" t="n"/>
    </row>
    <row r="167" ht="15.75" customHeight="1" s="52">
      <c r="A167" s="114" t="n"/>
      <c r="B167" s="76" t="n"/>
      <c r="C167" s="76" t="n"/>
      <c r="D167" s="109">
        <f t="array" ref="D167:D167">IFERROR(INDEX(GroupLookup,MATCH(C167,CategoryList,0)),"")</f>
        <v/>
      </c>
      <c r="E167" s="112" t="n"/>
      <c r="F167" s="76" t="n"/>
      <c r="G167" s="76" t="n"/>
    </row>
    <row r="168" ht="15.75" customHeight="1" s="52">
      <c r="A168" s="108" t="n"/>
      <c r="B168" s="75" t="n"/>
      <c r="C168" s="75" t="n"/>
      <c r="D168" s="109">
        <f t="array" ref="D168:D168">IFERROR(INDEX(GroupLookup,MATCH(C168,CategoryList,0)),"")</f>
        <v/>
      </c>
      <c r="E168" s="110" t="n"/>
      <c r="F168" s="75" t="n"/>
      <c r="G168" s="75" t="n"/>
    </row>
    <row r="169" ht="15.75" customHeight="1" s="52">
      <c r="A169" s="114" t="n"/>
      <c r="B169" s="76" t="n"/>
      <c r="C169" s="76" t="n"/>
      <c r="D169" s="109">
        <f t="array" ref="D169:D169">IFERROR(INDEX(GroupLookup,MATCH(C169,CategoryList,0)),"")</f>
        <v/>
      </c>
      <c r="E169" s="112" t="n"/>
      <c r="F169" s="76" t="n"/>
      <c r="G169" s="76" t="n"/>
    </row>
    <row r="170" ht="15.75" customHeight="1" s="52">
      <c r="A170" s="108" t="n"/>
      <c r="B170" s="75" t="n"/>
      <c r="C170" s="75" t="n"/>
      <c r="D170" s="109">
        <f t="array" ref="D170:D170">IFERROR(INDEX(GroupLookup,MATCH(C170,CategoryList,0)),"")</f>
        <v/>
      </c>
      <c r="E170" s="110" t="n"/>
      <c r="F170" s="75" t="n"/>
      <c r="G170" s="75" t="n"/>
    </row>
    <row r="171" ht="15.75" customHeight="1" s="52">
      <c r="A171" s="114" t="n"/>
      <c r="B171" s="76" t="n"/>
      <c r="C171" s="76" t="n"/>
      <c r="D171" s="109">
        <f t="array" ref="D171:D171">IFERROR(INDEX(GroupLookup,MATCH(C171,CategoryList,0)),"")</f>
        <v/>
      </c>
      <c r="E171" s="112" t="n"/>
      <c r="F171" s="76" t="n"/>
      <c r="G171" s="76" t="n"/>
    </row>
    <row r="172" ht="15.75" customHeight="1" s="52">
      <c r="A172" s="108" t="n"/>
      <c r="B172" s="75" t="n"/>
      <c r="C172" s="75" t="n"/>
      <c r="D172" s="109">
        <f t="array" ref="D172:D172">IFERROR(INDEX(GroupLookup,MATCH(C172,CategoryList,0)),"")</f>
        <v/>
      </c>
      <c r="E172" s="110" t="n"/>
      <c r="F172" s="75" t="n"/>
      <c r="G172" s="75" t="n"/>
    </row>
    <row r="173" ht="15.75" customHeight="1" s="52">
      <c r="A173" s="114" t="n"/>
      <c r="B173" s="76" t="n"/>
      <c r="C173" s="76" t="n"/>
      <c r="D173" s="109">
        <f t="array" ref="D173:D173">IFERROR(INDEX(GroupLookup,MATCH(C173,CategoryList,0)),"")</f>
        <v/>
      </c>
      <c r="E173" s="112" t="n"/>
      <c r="F173" s="76" t="n"/>
      <c r="G173" s="76" t="n"/>
    </row>
    <row r="174" ht="15.75" customHeight="1" s="52">
      <c r="A174" s="108" t="n"/>
      <c r="B174" s="75" t="n"/>
      <c r="C174" s="75" t="n"/>
      <c r="D174" s="109">
        <f t="array" ref="D174:D174">IFERROR(INDEX(GroupLookup,MATCH(C174,CategoryList,0)),"")</f>
        <v/>
      </c>
      <c r="E174" s="110" t="n"/>
      <c r="F174" s="75" t="n"/>
      <c r="G174" s="75" t="n"/>
    </row>
    <row r="175" ht="15.75" customHeight="1" s="52">
      <c r="A175" s="114" t="n"/>
      <c r="B175" s="76" t="n"/>
      <c r="C175" s="76" t="n"/>
      <c r="D175" s="109">
        <f t="array" ref="D175:D175">IFERROR(INDEX(GroupLookup,MATCH(C175,CategoryList,0)),"")</f>
        <v/>
      </c>
      <c r="E175" s="112" t="n"/>
      <c r="F175" s="76" t="n"/>
      <c r="G175" s="76" t="n"/>
    </row>
    <row r="176" ht="15.75" customHeight="1" s="52">
      <c r="A176" s="108" t="n"/>
      <c r="B176" s="75" t="n"/>
      <c r="C176" s="75" t="n"/>
      <c r="D176" s="109">
        <f t="array" ref="D176:D176">IFERROR(INDEX(GroupLookup,MATCH(C176,CategoryList,0)),"")</f>
        <v/>
      </c>
      <c r="E176" s="110" t="n"/>
      <c r="F176" s="75" t="n"/>
      <c r="G176" s="75" t="n"/>
    </row>
    <row r="177" ht="15.75" customHeight="1" s="52">
      <c r="A177" s="114" t="n"/>
      <c r="B177" s="76" t="n"/>
      <c r="C177" s="76" t="n"/>
      <c r="D177" s="109">
        <f t="array" ref="D177:D177">IFERROR(INDEX(GroupLookup,MATCH(C177,CategoryList,0)),"")</f>
        <v/>
      </c>
      <c r="E177" s="112" t="n"/>
      <c r="F177" s="76" t="n"/>
      <c r="G177" s="76" t="n"/>
    </row>
    <row r="178" ht="15.75" customHeight="1" s="52">
      <c r="A178" s="108" t="n"/>
      <c r="B178" s="75" t="n"/>
      <c r="C178" s="75" t="n"/>
      <c r="D178" s="109">
        <f t="array" ref="D178:D178">IFERROR(INDEX(GroupLookup,MATCH(C178,CategoryList,0)),"")</f>
        <v/>
      </c>
      <c r="E178" s="110" t="n"/>
      <c r="F178" s="75" t="n"/>
      <c r="G178" s="75" t="n"/>
    </row>
    <row r="179" ht="15.75" customHeight="1" s="52">
      <c r="A179" s="114" t="n"/>
      <c r="B179" s="76" t="n"/>
      <c r="C179" s="76" t="n"/>
      <c r="D179" s="109">
        <f t="array" ref="D179:D179">IFERROR(INDEX(GroupLookup,MATCH(C179,CategoryList,0)),"")</f>
        <v/>
      </c>
      <c r="E179" s="112" t="n"/>
      <c r="F179" s="76" t="n"/>
      <c r="G179" s="76" t="n"/>
    </row>
    <row r="180" ht="15.75" customHeight="1" s="52">
      <c r="A180" s="108" t="n"/>
      <c r="B180" s="75" t="n"/>
      <c r="C180" s="75" t="n"/>
      <c r="D180" s="109">
        <f t="array" ref="D180:D180">IFERROR(INDEX(GroupLookup,MATCH(C180,CategoryList,0)),"")</f>
        <v/>
      </c>
      <c r="E180" s="110" t="n"/>
      <c r="F180" s="75" t="n"/>
      <c r="G180" s="75" t="n"/>
    </row>
    <row r="181" ht="15.75" customHeight="1" s="52">
      <c r="A181" s="114" t="n"/>
      <c r="B181" s="76" t="n"/>
      <c r="C181" s="76" t="n"/>
      <c r="D181" s="109">
        <f t="array" ref="D181:D181">IFERROR(INDEX(GroupLookup,MATCH(C181,CategoryList,0)),"")</f>
        <v/>
      </c>
      <c r="E181" s="112" t="n"/>
      <c r="F181" s="76" t="n"/>
      <c r="G181" s="76" t="n"/>
    </row>
    <row r="182" ht="15.75" customHeight="1" s="52">
      <c r="A182" s="108" t="n"/>
      <c r="B182" s="75" t="n"/>
      <c r="C182" s="75" t="n"/>
      <c r="D182" s="109">
        <f t="array" ref="D182:D182">IFERROR(INDEX(GroupLookup,MATCH(C182,CategoryList,0)),"")</f>
        <v/>
      </c>
      <c r="E182" s="110" t="n"/>
      <c r="F182" s="75" t="n"/>
      <c r="G182" s="75" t="n"/>
    </row>
    <row r="183" ht="15.75" customHeight="1" s="52">
      <c r="A183" s="114" t="n"/>
      <c r="B183" s="76" t="n"/>
      <c r="C183" s="76" t="n"/>
      <c r="D183" s="109">
        <f t="array" ref="D183:D183">IFERROR(INDEX(GroupLookup,MATCH(C183,CategoryList,0)),"")</f>
        <v/>
      </c>
      <c r="E183" s="112" t="n"/>
      <c r="F183" s="76" t="n"/>
      <c r="G183" s="76" t="n"/>
    </row>
    <row r="184" ht="15.75" customHeight="1" s="52">
      <c r="A184" s="108" t="n"/>
      <c r="B184" s="75" t="n"/>
      <c r="C184" s="75" t="n"/>
      <c r="D184" s="109">
        <f t="array" ref="D184:D184">IFERROR(INDEX(GroupLookup,MATCH(C184,CategoryList,0)),"")</f>
        <v/>
      </c>
      <c r="E184" s="110" t="n"/>
      <c r="F184" s="75" t="n"/>
      <c r="G184" s="75" t="n"/>
    </row>
    <row r="185" ht="15.75" customHeight="1" s="52">
      <c r="A185" s="114" t="n"/>
      <c r="B185" s="76" t="n"/>
      <c r="C185" s="76" t="n"/>
      <c r="D185" s="109">
        <f t="array" ref="D185:D185">IFERROR(INDEX(GroupLookup,MATCH(C185,CategoryList,0)),"")</f>
        <v/>
      </c>
      <c r="E185" s="112" t="n"/>
      <c r="F185" s="76" t="n"/>
      <c r="G185" s="76" t="n"/>
    </row>
    <row r="186" ht="15.75" customHeight="1" s="52">
      <c r="A186" s="108" t="n"/>
      <c r="B186" s="75" t="n"/>
      <c r="C186" s="75" t="n"/>
      <c r="D186" s="109">
        <f t="array" ref="D186:D186">IFERROR(INDEX(GroupLookup,MATCH(C186,CategoryList,0)),"")</f>
        <v/>
      </c>
      <c r="E186" s="110" t="n"/>
      <c r="F186" s="75" t="n"/>
      <c r="G186" s="75" t="n"/>
    </row>
    <row r="187" ht="15.75" customHeight="1" s="52">
      <c r="A187" s="114" t="n"/>
      <c r="B187" s="76" t="n"/>
      <c r="C187" s="76" t="n"/>
      <c r="D187" s="109">
        <f t="array" ref="D187:D187">IFERROR(INDEX(GroupLookup,MATCH(C187,CategoryList,0)),"")</f>
        <v/>
      </c>
      <c r="E187" s="112" t="n"/>
      <c r="F187" s="76" t="n"/>
      <c r="G187" s="76" t="n"/>
    </row>
    <row r="188" ht="15.75" customHeight="1" s="52">
      <c r="A188" s="108" t="n"/>
      <c r="B188" s="75" t="n"/>
      <c r="C188" s="75" t="n"/>
      <c r="D188" s="109">
        <f t="array" ref="D188:D188">IFERROR(INDEX(GroupLookup,MATCH(C188,CategoryList,0)),"")</f>
        <v/>
      </c>
      <c r="E188" s="110" t="n"/>
      <c r="F188" s="75" t="n"/>
      <c r="G188" s="75" t="n"/>
    </row>
    <row r="189" ht="15.75" customHeight="1" s="52">
      <c r="A189" s="114" t="n"/>
      <c r="B189" s="76" t="n"/>
      <c r="C189" s="76" t="n"/>
      <c r="D189" s="109">
        <f t="array" ref="D189:D189">IFERROR(INDEX(GroupLookup,MATCH(C189,CategoryList,0)),"")</f>
        <v/>
      </c>
      <c r="E189" s="112" t="n"/>
      <c r="F189" s="76" t="n"/>
      <c r="G189" s="76" t="n"/>
    </row>
    <row r="190" ht="15.75" customHeight="1" s="52">
      <c r="A190" s="108" t="n"/>
      <c r="B190" s="75" t="n"/>
      <c r="C190" s="75" t="n"/>
      <c r="D190" s="109">
        <f t="array" ref="D190:D190">IFERROR(INDEX(GroupLookup,MATCH(C190,CategoryList,0)),"")</f>
        <v/>
      </c>
      <c r="E190" s="110" t="n"/>
      <c r="F190" s="75" t="n"/>
      <c r="G190" s="75" t="n"/>
    </row>
    <row r="191" ht="15.75" customHeight="1" s="52">
      <c r="A191" s="114" t="n"/>
      <c r="B191" s="76" t="n"/>
      <c r="C191" s="76" t="n"/>
      <c r="D191" s="109">
        <f t="array" ref="D191:D191">IFERROR(INDEX(GroupLookup,MATCH(C191,CategoryList,0)),"")</f>
        <v/>
      </c>
      <c r="E191" s="112" t="n"/>
      <c r="F191" s="76" t="n"/>
      <c r="G191" s="76" t="n"/>
    </row>
    <row r="192" ht="15.75" customHeight="1" s="52">
      <c r="A192" s="108" t="n"/>
      <c r="B192" s="75" t="n"/>
      <c r="C192" s="75" t="n"/>
      <c r="D192" s="109">
        <f t="array" ref="D192:D192">IFERROR(INDEX(GroupLookup,MATCH(C192,CategoryList,0)),"")</f>
        <v/>
      </c>
      <c r="E192" s="110" t="n"/>
      <c r="F192" s="75" t="n"/>
      <c r="G192" s="75" t="n"/>
    </row>
    <row r="193" ht="15.75" customHeight="1" s="52">
      <c r="A193" s="114" t="n"/>
      <c r="B193" s="76" t="n"/>
      <c r="C193" s="76" t="n"/>
      <c r="D193" s="109">
        <f t="array" ref="D193:D193">IFERROR(INDEX(GroupLookup,MATCH(C193,CategoryList,0)),"")</f>
        <v/>
      </c>
      <c r="E193" s="112" t="n"/>
      <c r="F193" s="76" t="n"/>
      <c r="G193" s="76" t="n"/>
    </row>
    <row r="194" ht="15.75" customHeight="1" s="52">
      <c r="A194" s="108" t="n"/>
      <c r="B194" s="75" t="n"/>
      <c r="C194" s="75" t="n"/>
      <c r="D194" s="109">
        <f t="array" ref="D194:D194">IFERROR(INDEX(GroupLookup,MATCH(C194,CategoryList,0)),"")</f>
        <v/>
      </c>
      <c r="E194" s="110" t="n"/>
      <c r="F194" s="75" t="n"/>
      <c r="G194" s="75" t="n"/>
    </row>
    <row r="195" ht="15.75" customHeight="1" s="52">
      <c r="A195" s="114" t="n"/>
      <c r="B195" s="76" t="n"/>
      <c r="C195" s="76" t="n"/>
      <c r="D195" s="109">
        <f t="array" ref="D195:D195">IFERROR(INDEX(GroupLookup,MATCH(C195,CategoryList,0)),"")</f>
        <v/>
      </c>
      <c r="E195" s="112" t="n"/>
      <c r="F195" s="76" t="n"/>
      <c r="G195" s="76" t="n"/>
    </row>
    <row r="196" ht="15.75" customHeight="1" s="52">
      <c r="A196" s="108" t="n"/>
      <c r="B196" s="75" t="n"/>
      <c r="C196" s="75" t="n"/>
      <c r="D196" s="109">
        <f t="array" ref="D196:D196">IFERROR(INDEX(GroupLookup,MATCH(C196,CategoryList,0)),"")</f>
        <v/>
      </c>
      <c r="E196" s="110" t="n"/>
      <c r="F196" s="75" t="n"/>
      <c r="G196" s="75" t="n"/>
    </row>
    <row r="197" ht="15.75" customHeight="1" s="52">
      <c r="A197" s="114" t="n"/>
      <c r="B197" s="76" t="n"/>
      <c r="C197" s="76" t="n"/>
      <c r="D197" s="109">
        <f t="array" ref="D197:D197">IFERROR(INDEX(GroupLookup,MATCH(C197,CategoryList,0)),"")</f>
        <v/>
      </c>
      <c r="E197" s="112" t="n"/>
      <c r="F197" s="76" t="n"/>
      <c r="G197" s="76" t="n"/>
    </row>
    <row r="198" ht="15.75" customHeight="1" s="52">
      <c r="A198" s="108" t="n"/>
      <c r="B198" s="75" t="n"/>
      <c r="C198" s="75" t="n"/>
      <c r="D198" s="109">
        <f t="array" ref="D198:D198">IFERROR(INDEX(GroupLookup,MATCH(C198,CategoryList,0)),"")</f>
        <v/>
      </c>
      <c r="E198" s="110" t="n"/>
      <c r="F198" s="75" t="n"/>
      <c r="G198" s="75" t="n"/>
    </row>
    <row r="199" ht="15.75" customHeight="1" s="52">
      <c r="A199" s="114" t="n"/>
      <c r="B199" s="76" t="n"/>
      <c r="C199" s="76" t="n"/>
      <c r="D199" s="109">
        <f t="array" ref="D199:D199">IFERROR(INDEX(GroupLookup,MATCH(C199,CategoryList,0)),"")</f>
        <v/>
      </c>
      <c r="E199" s="112" t="n"/>
      <c r="F199" s="76" t="n"/>
      <c r="G199" s="76" t="n"/>
    </row>
    <row r="200" ht="15.75" customHeight="1" s="52">
      <c r="A200" s="108" t="n"/>
      <c r="B200" s="75" t="n"/>
      <c r="C200" s="75" t="n"/>
      <c r="D200" s="109">
        <f t="array" ref="D200:D200">IFERROR(INDEX(GroupLookup,MATCH(C200,CategoryList,0)),"")</f>
        <v/>
      </c>
      <c r="E200" s="110" t="n"/>
      <c r="F200" s="75" t="n"/>
      <c r="G200" s="75" t="n"/>
    </row>
    <row r="201" ht="15.75" customHeight="1" s="52">
      <c r="A201" s="114" t="n"/>
      <c r="B201" s="76" t="n"/>
      <c r="C201" s="76" t="n"/>
      <c r="D201" s="109">
        <f t="array" ref="D201:D201">IFERROR(INDEX(GroupLookup,MATCH(C201,CategoryList,0)),"")</f>
        <v/>
      </c>
      <c r="E201" s="112" t="n"/>
      <c r="F201" s="76" t="n"/>
      <c r="G201" s="76" t="n"/>
    </row>
    <row r="202" ht="15.75" customHeight="1" s="52">
      <c r="A202" s="108" t="n"/>
      <c r="B202" s="75" t="n"/>
      <c r="C202" s="75" t="n"/>
      <c r="D202" s="109">
        <f t="array" ref="D202:D202">IFERROR(INDEX(GroupLookup,MATCH(C202,CategoryList,0)),"")</f>
        <v/>
      </c>
      <c r="E202" s="110" t="n"/>
      <c r="F202" s="75" t="n"/>
      <c r="G202" s="75" t="n"/>
    </row>
    <row r="203" ht="15.75" customHeight="1" s="52">
      <c r="A203" s="114" t="n"/>
      <c r="B203" s="76" t="n"/>
      <c r="C203" s="76" t="n"/>
      <c r="D203" s="109">
        <f t="array" ref="D203:D203">IFERROR(INDEX(GroupLookup,MATCH(C203,CategoryList,0)),"")</f>
        <v/>
      </c>
      <c r="E203" s="112" t="n"/>
      <c r="F203" s="76" t="n"/>
      <c r="G203" s="76" t="n"/>
    </row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autoFilter ref="A3:G203"/>
  <mergeCells count="12">
    <mergeCell ref="A1:G1"/>
    <mergeCell ref="J20:K20"/>
    <mergeCell ref="I2:K2"/>
    <mergeCell ref="I14:K14"/>
    <mergeCell ref="J16:K16"/>
    <mergeCell ref="J15:K15"/>
    <mergeCell ref="I1:K1"/>
    <mergeCell ref="J18:K18"/>
    <mergeCell ref="J19:K19"/>
    <mergeCell ref="A2:G2"/>
    <mergeCell ref="I21:K21"/>
    <mergeCell ref="J17:K17"/>
  </mergeCells>
  <conditionalFormatting sqref="J13">
    <cfRule type="expression" rank="0" priority="2" equalAverage="0" aboveAverage="0" dxfId="0" text="" percent="0" bottom="0">
      <formula>$J$13&lt;&gt;0</formula>
    </cfRule>
  </conditionalFormatting>
  <conditionalFormatting sqref="A4:G203">
    <cfRule type="expression" rank="0" priority="3" equalAverage="0" aboveAverage="0" dxfId="7" text="" percent="0" bottom="0">
      <formula>AND($E4&gt;0,$D4="")</formula>
    </cfRule>
  </conditionalFormatting>
  <dataValidations count="4">
    <dataValidation sqref="E4:E203" showDropDown="0" showInputMessage="0" showErrorMessage="1" allowBlank="1" errorTitle="পরিমাণ ঋণাত্মক হতে পারে না" error="শুধু শূন্য বা তার বেশি সংখ্যা লিখুন। টাকার চিহ্ন নিজে থেকে বসবে।" type="decimal" errorStyle="stop" operator="greaterThanOrEqual">
      <formula1>0</formula1>
      <formula2>0</formula2>
    </dataValidation>
    <dataValidation sqref="A4:A203" showDropDown="0" showInputMessage="0" showErrorMessage="1" allowBlank="1" errorTitle="তারিখ এই মাসের বাইরে" error="তারিখটি এই শিটের মাসের মধ্যে পড়ছে না। ভুল হলে ঠিক করুন, নয়তো ‘হ্যাঁ’ চেপে রেখে দিন।" type="date" errorStyle="warning" operator="between">
      <formula1>DATE(2026,10,1)</formula1>
      <formula2>DATE(2026,10,31)</formula2>
    </dataValidation>
    <dataValidation sqref="C4:C203" showDropDown="0" showInputMessage="0" showErrorMessage="1" allowBlank="1" errorTitle="খাত তালিকায় নেই" error="ড্রপ-ডাউন থেকে একটি খাত বেছে নিন। তালিকার বাইরের খাত লিখলে ‘গ্রুপ’ কলাম খালি থাকবে এবং খরচটি গ্রুপভিত্তিক হিসাবে ধরা পড়বে না। নতুন খাত দরকার হলে ‘সেটিংস’ শিটে যোগ করুন।" type="list" errorStyle="stop" operator="between">
      <formula1>CategoryList</formula1>
      <formula2>0</formula2>
    </dataValidation>
    <dataValidation sqref="F4:F203" showDropDown="0" showInputMessage="0" showErrorMessage="1" allowBlank="1" errorTitle="পেমেন্ট মাধ্যম তালিকায় নেই" error="ড্রপ-ডাউন থেকে একটি পেমেন্ট মাধ্যম বেছে নিন।" type="list" errorStyle="stop" operator="between">
      <formula1>PaymentList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2E5C99"/>
    <outlinePr summaryBelow="1" summaryRight="1"/>
    <pageSetUpPr fitToPage="0"/>
  </sheetPr>
  <dimension ref="A1:K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3359375" defaultRowHeight="15" zeroHeight="0" outlineLevelRow="0"/>
  <cols>
    <col width="13" customWidth="1" style="51" min="1" max="1"/>
    <col width="34" customWidth="1" style="51" min="2" max="2"/>
    <col width="26" customWidth="1" style="51" min="3" max="3"/>
    <col width="24" customWidth="1" style="51" min="4" max="4"/>
    <col width="15" customWidth="1" style="51" min="5" max="5"/>
    <col width="20" customWidth="1" style="51" min="6" max="6"/>
    <col width="26" customWidth="1" style="51" min="7" max="7"/>
    <col width="3" customWidth="1" style="51" min="8" max="8"/>
    <col width="30" customWidth="1" style="51" min="9" max="9"/>
    <col width="17" customWidth="1" style="51" min="10" max="10"/>
    <col width="12" customWidth="1" style="51" min="11" max="11"/>
    <col width="8.710000000000001" customWidth="1" style="51" min="12" max="26"/>
  </cols>
  <sheetData>
    <row r="1" ht="25.5" customHeight="1" s="52">
      <c r="A1" s="104" t="inlineStr">
        <is>
          <t>দৈনিক খরচের হিসাব  —  নভেম্বর ২০২৬</t>
        </is>
      </c>
      <c r="I1" s="105" t="inlineStr">
        <is>
          <t>মাসিক সারসংক্ষেপ</t>
        </is>
      </c>
    </row>
    <row r="2" ht="15.75" customHeight="1" s="52">
      <c r="A2" s="59" t="inlineStr">
        <is>
          <t>শুধু  তারিখ · বিবরণ · খাত · পরিমাণ · পেমেন্ট মাধ্যম · মন্তব্য  ঘরগুলো পূরণ করুন। ‘গ্রুপ’ কলাম স্বয়ংক্রিয়ভাবে পূরণ হবে।</t>
        </is>
      </c>
      <c r="I2" s="106" t="n"/>
    </row>
    <row r="3" ht="21.75" customHeight="1" s="52">
      <c r="A3" s="107" t="inlineStr">
        <is>
          <t>তারিখ</t>
        </is>
      </c>
      <c r="B3" s="107" t="inlineStr">
        <is>
          <t>বিবরণ</t>
        </is>
      </c>
      <c r="C3" s="107" t="inlineStr">
        <is>
          <t>খাত</t>
        </is>
      </c>
      <c r="D3" s="107" t="inlineStr">
        <is>
          <t>গ্রুপ</t>
        </is>
      </c>
      <c r="E3" s="107" t="inlineStr">
        <is>
          <t>পরিমাণ (৳)</t>
        </is>
      </c>
      <c r="F3" s="107" t="inlineStr">
        <is>
          <t>পেমেন্ট মাধ্যম</t>
        </is>
      </c>
      <c r="G3" s="107" t="inlineStr">
        <is>
          <t>মন্তব্য</t>
        </is>
      </c>
      <c r="I3" s="100" t="inlineStr">
        <is>
          <t>গ্রুপ (প্রধান খাত)</t>
        </is>
      </c>
      <c r="J3" s="100" t="inlineStr">
        <is>
          <t>মোট (৳)</t>
        </is>
      </c>
      <c r="K3" s="100" t="inlineStr">
        <is>
          <t>শতাংশ</t>
        </is>
      </c>
    </row>
    <row r="4" ht="15" customHeight="1" s="52">
      <c r="A4" s="108" t="n"/>
      <c r="B4" s="75" t="n"/>
      <c r="C4" s="75" t="n"/>
      <c r="D4" s="109">
        <f t="array" ref="D4:D4">IFERROR(INDEX(GroupLookup,MATCH(C4,CategoryList,0)),"")</f>
        <v/>
      </c>
      <c r="E4" s="110" t="n"/>
      <c r="F4" s="75" t="n"/>
      <c r="G4" s="75" t="n"/>
      <c r="I4" s="75" t="inlineStr">
        <is>
          <t>খাদ্য ও মুদি</t>
        </is>
      </c>
      <c r="J4" s="110">
        <f>SUMIF($D$4:$D$203,$I4,$E$4:$E$203)</f>
        <v/>
      </c>
      <c r="K4" s="111">
        <f>IFERROR($J4/$J$12,0)</f>
        <v/>
      </c>
    </row>
    <row r="5" ht="15" customHeight="1" s="52">
      <c r="A5" s="114" t="n"/>
      <c r="B5" s="76" t="n"/>
      <c r="C5" s="76" t="n"/>
      <c r="D5" s="109">
        <f t="array" ref="D5:D5">IFERROR(INDEX(GroupLookup,MATCH(C5,CategoryList,0)),"")</f>
        <v/>
      </c>
      <c r="E5" s="112" t="n"/>
      <c r="F5" s="76" t="n"/>
      <c r="G5" s="76" t="n"/>
      <c r="I5" s="76" t="inlineStr">
        <is>
          <t>বাসস্থান</t>
        </is>
      </c>
      <c r="J5" s="112">
        <f>SUMIF($D$4:$D$203,$I5,$E$4:$E$203)</f>
        <v/>
      </c>
      <c r="K5" s="113">
        <f>IFERROR($J5/$J$12,0)</f>
        <v/>
      </c>
    </row>
    <row r="6" ht="15" customHeight="1" s="52">
      <c r="A6" s="108" t="n"/>
      <c r="B6" s="75" t="n"/>
      <c r="C6" s="75" t="n"/>
      <c r="D6" s="109">
        <f t="array" ref="D6:D6">IFERROR(INDEX(GroupLookup,MATCH(C6,CategoryList,0)),"")</f>
        <v/>
      </c>
      <c r="E6" s="110" t="n"/>
      <c r="F6" s="75" t="n"/>
      <c r="G6" s="75" t="n"/>
      <c r="I6" s="75" t="inlineStr">
        <is>
          <t>ইউটিলিটি বিল</t>
        </is>
      </c>
      <c r="J6" s="110">
        <f>SUMIF($D$4:$D$203,$I6,$E$4:$E$203)</f>
        <v/>
      </c>
      <c r="K6" s="111">
        <f>IFERROR($J6/$J$12,0)</f>
        <v/>
      </c>
    </row>
    <row r="7" ht="15" customHeight="1" s="52">
      <c r="A7" s="114" t="n"/>
      <c r="B7" s="76" t="n"/>
      <c r="C7" s="76" t="n"/>
      <c r="D7" s="109">
        <f t="array" ref="D7:D7">IFERROR(INDEX(GroupLookup,MATCH(C7,CategoryList,0)),"")</f>
        <v/>
      </c>
      <c r="E7" s="112" t="n"/>
      <c r="F7" s="76" t="n"/>
      <c r="G7" s="76" t="n"/>
      <c r="I7" s="76" t="inlineStr">
        <is>
          <t>যাতায়াত</t>
        </is>
      </c>
      <c r="J7" s="112">
        <f>SUMIF($D$4:$D$203,$I7,$E$4:$E$203)</f>
        <v/>
      </c>
      <c r="K7" s="113">
        <f>IFERROR($J7/$J$12,0)</f>
        <v/>
      </c>
    </row>
    <row r="8" ht="15" customHeight="1" s="52">
      <c r="A8" s="108" t="n"/>
      <c r="B8" s="75" t="n"/>
      <c r="C8" s="75" t="n"/>
      <c r="D8" s="109">
        <f t="array" ref="D8:D8">IFERROR(INDEX(GroupLookup,MATCH(C8,CategoryList,0)),"")</f>
        <v/>
      </c>
      <c r="E8" s="110" t="n"/>
      <c r="F8" s="75" t="n"/>
      <c r="G8" s="75" t="n"/>
      <c r="I8" s="75" t="inlineStr">
        <is>
          <t>স্বাস্থ্য</t>
        </is>
      </c>
      <c r="J8" s="110">
        <f>SUMIF($D$4:$D$203,$I8,$E$4:$E$203)</f>
        <v/>
      </c>
      <c r="K8" s="111">
        <f>IFERROR($J8/$J$12,0)</f>
        <v/>
      </c>
    </row>
    <row r="9" ht="15" customHeight="1" s="52">
      <c r="A9" s="114" t="n"/>
      <c r="B9" s="76" t="n"/>
      <c r="C9" s="76" t="n"/>
      <c r="D9" s="109">
        <f t="array" ref="D9:D9">IFERROR(INDEX(GroupLookup,MATCH(C9,CategoryList,0)),"")</f>
        <v/>
      </c>
      <c r="E9" s="112" t="n"/>
      <c r="F9" s="76" t="n"/>
      <c r="G9" s="76" t="n"/>
      <c r="I9" s="76" t="inlineStr">
        <is>
          <t>শিক্ষা</t>
        </is>
      </c>
      <c r="J9" s="112">
        <f>SUMIF($D$4:$D$203,$I9,$E$4:$E$203)</f>
        <v/>
      </c>
      <c r="K9" s="113">
        <f>IFERROR($J9/$J$12,0)</f>
        <v/>
      </c>
    </row>
    <row r="10" ht="15" customHeight="1" s="52">
      <c r="A10" s="108" t="n"/>
      <c r="B10" s="75" t="n"/>
      <c r="C10" s="75" t="n"/>
      <c r="D10" s="109">
        <f t="array" ref="D10:D10">IFERROR(INDEX(GroupLookup,MATCH(C10,CategoryList,0)),"")</f>
        <v/>
      </c>
      <c r="E10" s="110" t="n"/>
      <c r="F10" s="75" t="n"/>
      <c r="G10" s="75" t="n"/>
      <c r="I10" s="75" t="inlineStr">
        <is>
          <t>ব্যক্তিগত ও গৃহস্থালি</t>
        </is>
      </c>
      <c r="J10" s="110">
        <f>SUMIF($D$4:$D$203,$I10,$E$4:$E$203)</f>
        <v/>
      </c>
      <c r="K10" s="111">
        <f>IFERROR($J10/$J$12,0)</f>
        <v/>
      </c>
    </row>
    <row r="11" ht="15" customHeight="1" s="52">
      <c r="A11" s="114" t="n"/>
      <c r="B11" s="76" t="n"/>
      <c r="C11" s="76" t="n"/>
      <c r="D11" s="109">
        <f t="array" ref="D11:D11">IFERROR(INDEX(GroupLookup,MATCH(C11,CategoryList,0)),"")</f>
        <v/>
      </c>
      <c r="E11" s="112" t="n"/>
      <c r="F11" s="76" t="n"/>
      <c r="G11" s="76" t="n"/>
      <c r="I11" s="76" t="inlineStr">
        <is>
          <t>অন্যান্য</t>
        </is>
      </c>
      <c r="J11" s="112">
        <f>SUMIF($D$4:$D$203,$I11,$E$4:$E$203)</f>
        <v/>
      </c>
      <c r="K11" s="113">
        <f>IFERROR($J11/$J$12,0)</f>
        <v/>
      </c>
    </row>
    <row r="12" ht="15" customHeight="1" s="52">
      <c r="A12" s="108" t="n"/>
      <c r="B12" s="75" t="n"/>
      <c r="C12" s="75" t="n"/>
      <c r="D12" s="109">
        <f t="array" ref="D12:D12">IFERROR(INDEX(GroupLookup,MATCH(C12,CategoryList,0)),"")</f>
        <v/>
      </c>
      <c r="E12" s="110" t="n"/>
      <c r="F12" s="75" t="n"/>
      <c r="G12" s="75" t="n"/>
      <c r="I12" s="72" t="inlineStr">
        <is>
          <t>মোট মাসিক ব্যয়</t>
        </is>
      </c>
      <c r="J12" s="117">
        <f>SUM($E$4:$E$203)</f>
        <v/>
      </c>
      <c r="K12" s="118">
        <f>IFERROR($J$12/$J$12,0)</f>
        <v/>
      </c>
    </row>
    <row r="13" ht="15" customHeight="1" s="52">
      <c r="A13" s="114" t="n"/>
      <c r="B13" s="76" t="n"/>
      <c r="C13" s="76" t="n"/>
      <c r="D13" s="109">
        <f t="array" ref="D13:D13">IFERROR(INDEX(GroupLookup,MATCH(C13,CategoryList,0)),"")</f>
        <v/>
      </c>
      <c r="E13" s="112" t="n"/>
      <c r="F13" s="76" t="n"/>
      <c r="G13" s="76" t="n"/>
      <c r="I13" s="74" t="inlineStr">
        <is>
          <t>শ্রেণিবিন্যাসহীন (খাত তালিকায় নেই)</t>
        </is>
      </c>
      <c r="J13" s="117">
        <f>$J$12-SUM($J$4:$J$11)</f>
        <v/>
      </c>
      <c r="K13" s="118">
        <f>IFERROR($J13/$J$12,0)</f>
        <v/>
      </c>
    </row>
    <row r="14" ht="25.5" customHeight="1" s="52">
      <c r="A14" s="108" t="n"/>
      <c r="B14" s="75" t="n"/>
      <c r="C14" s="75" t="n"/>
      <c r="D14" s="109">
        <f t="array" ref="D14:D14">IFERROR(INDEX(GroupLookup,MATCH(C14,CategoryList,0)),"")</f>
        <v/>
      </c>
      <c r="E14" s="110" t="n"/>
      <c r="F14" s="75" t="n"/>
      <c r="G14" s="75" t="n"/>
      <c r="I14" s="119" t="inlineStr">
        <is>
          <t>গুরুত্বপূর্ণ তথ্য</t>
        </is>
      </c>
    </row>
    <row r="15" ht="15" customHeight="1" s="52">
      <c r="A15" s="114" t="n"/>
      <c r="B15" s="76" t="n"/>
      <c r="C15" s="76" t="n"/>
      <c r="D15" s="109">
        <f t="array" ref="D15:D15">IFERROR(INDEX(GroupLookup,MATCH(C15,CategoryList,0)),"")</f>
        <v/>
      </c>
      <c r="E15" s="112" t="n"/>
      <c r="F15" s="76" t="n"/>
      <c r="G15" s="76" t="n"/>
      <c r="I15" s="67" t="inlineStr">
        <is>
          <t>মোট লেনদেন সংখ্যা</t>
        </is>
      </c>
      <c r="J15" s="120">
        <f>COUNT($E$4:$E$203)</f>
        <v/>
      </c>
      <c r="K15" s="62" t="n"/>
    </row>
    <row r="16" ht="15" customHeight="1" s="52">
      <c r="A16" s="108" t="n"/>
      <c r="B16" s="75" t="n"/>
      <c r="C16" s="75" t="n"/>
      <c r="D16" s="109">
        <f t="array" ref="D16:D16">IFERROR(INDEX(GroupLookup,MATCH(C16,CategoryList,0)),"")</f>
        <v/>
      </c>
      <c r="E16" s="110" t="n"/>
      <c r="F16" s="75" t="n"/>
      <c r="G16" s="75" t="n"/>
      <c r="I16" s="70" t="inlineStr">
        <is>
          <t>দৈনিক গড় খরচ</t>
        </is>
      </c>
      <c r="J16" s="121">
        <f>IFERROR($J$12/30,0)</f>
        <v/>
      </c>
      <c r="K16" s="62" t="n"/>
    </row>
    <row r="17" ht="15" customHeight="1" s="52">
      <c r="A17" s="114" t="n"/>
      <c r="B17" s="76" t="n"/>
      <c r="C17" s="76" t="n"/>
      <c r="D17" s="109">
        <f t="array" ref="D17:D17">IFERROR(INDEX(GroupLookup,MATCH(C17,CategoryList,0)),"")</f>
        <v/>
      </c>
      <c r="E17" s="112" t="n"/>
      <c r="F17" s="76" t="n"/>
      <c r="G17" s="76" t="n"/>
      <c r="I17" s="67" t="inlineStr">
        <is>
          <t>প্রতি লেনদেনে গড়</t>
        </is>
      </c>
      <c r="J17" s="122">
        <f>IFERROR($J$12/COUNT($E$4:$E$203),0)</f>
        <v/>
      </c>
      <c r="K17" s="62" t="n"/>
    </row>
    <row r="18" ht="15" customHeight="1" s="52">
      <c r="A18" s="108" t="n"/>
      <c r="B18" s="75" t="n"/>
      <c r="C18" s="75" t="n"/>
      <c r="D18" s="109">
        <f t="array" ref="D18:D18">IFERROR(INDEX(GroupLookup,MATCH(C18,CategoryList,0)),"")</f>
        <v/>
      </c>
      <c r="E18" s="110" t="n"/>
      <c r="F18" s="75" t="n"/>
      <c r="G18" s="75" t="n"/>
      <c r="I18" s="70" t="inlineStr">
        <is>
          <t>সর্বোচ্চ একক খরচ</t>
        </is>
      </c>
      <c r="J18" s="121">
        <f>IFERROR(MAX($E$4:$E$203),0)</f>
        <v/>
      </c>
      <c r="K18" s="62" t="n"/>
    </row>
    <row r="19" ht="15" customHeight="1" s="52">
      <c r="A19" s="114" t="n"/>
      <c r="B19" s="76" t="n"/>
      <c r="C19" s="76" t="n"/>
      <c r="D19" s="109">
        <f t="array" ref="D19:D19">IFERROR(INDEX(GroupLookup,MATCH(C19,CategoryList,0)),"")</f>
        <v/>
      </c>
      <c r="E19" s="112" t="n"/>
      <c r="F19" s="76" t="n"/>
      <c r="G19" s="76" t="n"/>
      <c r="I19" s="67" t="inlineStr">
        <is>
          <t>সর্বোচ্চ ব্যয়ের গ্রুপ</t>
        </is>
      </c>
      <c r="J19" s="123">
        <f t="array" ref="J19:J19">IF($J$12=0,"–",IFERROR(INDEX($I$4:$I$11,MATCH(MAX($J$4:$J$11),$J$4:$J$11,0)),"–"))</f>
        <v/>
      </c>
      <c r="K19" s="62" t="n"/>
    </row>
    <row r="20" ht="15" customHeight="1" s="52">
      <c r="A20" s="108" t="n"/>
      <c r="B20" s="75" t="n"/>
      <c r="C20" s="75" t="n"/>
      <c r="D20" s="109">
        <f t="array" ref="D20:D20">IFERROR(INDEX(GroupLookup,MATCH(C20,CategoryList,0)),"")</f>
        <v/>
      </c>
      <c r="E20" s="110" t="n"/>
      <c r="F20" s="75" t="n"/>
      <c r="G20" s="75" t="n"/>
      <c r="I20" s="70" t="inlineStr">
        <is>
          <t>সর্বোচ্চ ব্যয়ের খাত</t>
        </is>
      </c>
      <c r="J20" s="124">
        <f t="array" ref="J20:J20">IF($J$12=0,"–",IFERROR(INDEX($I$23:$I$76,MATCH(MAX($J$23:$J$76),$J$23:$J$76,0)),"–"))</f>
        <v/>
      </c>
      <c r="K20" s="62" t="n"/>
    </row>
    <row r="21" ht="25.5" customHeight="1" s="52">
      <c r="A21" s="114" t="n"/>
      <c r="B21" s="76" t="n"/>
      <c r="C21" s="76" t="n"/>
      <c r="D21" s="109">
        <f t="array" ref="D21:D21">IFERROR(INDEX(GroupLookup,MATCH(C21,CategoryList,0)),"")</f>
        <v/>
      </c>
      <c r="E21" s="112" t="n"/>
      <c r="F21" s="76" t="n"/>
      <c r="G21" s="76" t="n"/>
      <c r="I21" s="119" t="inlineStr">
        <is>
          <t>খাতভিত্তিক বিস্তারিত</t>
        </is>
      </c>
    </row>
    <row r="22" ht="15.75" customHeight="1" s="52">
      <c r="A22" s="108" t="n"/>
      <c r="B22" s="75" t="n"/>
      <c r="C22" s="75" t="n"/>
      <c r="D22" s="109">
        <f t="array" ref="D22:D22">IFERROR(INDEX(GroupLookup,MATCH(C22,CategoryList,0)),"")</f>
        <v/>
      </c>
      <c r="E22" s="110" t="n"/>
      <c r="F22" s="75" t="n"/>
      <c r="G22" s="75" t="n"/>
      <c r="I22" s="100" t="inlineStr">
        <is>
          <t>খাত</t>
        </is>
      </c>
      <c r="J22" s="100" t="inlineStr">
        <is>
          <t>মোট (৳)</t>
        </is>
      </c>
      <c r="K22" s="100" t="inlineStr">
        <is>
          <t>শতাংশ</t>
        </is>
      </c>
    </row>
    <row r="23" ht="15.75" customHeight="1" s="52">
      <c r="A23" s="114" t="n"/>
      <c r="B23" s="76" t="n"/>
      <c r="C23" s="76" t="n"/>
      <c r="D23" s="109">
        <f t="array" ref="D23:D23">IFERROR(INDEX(GroupLookup,MATCH(C23,CategoryList,0)),"")</f>
        <v/>
      </c>
      <c r="E23" s="112" t="n"/>
      <c r="F23" s="76" t="n"/>
      <c r="G23" s="76" t="n"/>
      <c r="I23" s="75" t="inlineStr">
        <is>
          <t>চাল</t>
        </is>
      </c>
      <c r="J23" s="110">
        <f>SUMIF($C$4:$C$203,$I23,$E$4:$E$203)</f>
        <v/>
      </c>
      <c r="K23" s="111">
        <f>IFERROR($J23/$J$12,0)</f>
        <v/>
      </c>
    </row>
    <row r="24" ht="15.75" customHeight="1" s="52">
      <c r="A24" s="108" t="n"/>
      <c r="B24" s="75" t="n"/>
      <c r="C24" s="75" t="n"/>
      <c r="D24" s="109">
        <f t="array" ref="D24:D24">IFERROR(INDEX(GroupLookup,MATCH(C24,CategoryList,0)),"")</f>
        <v/>
      </c>
      <c r="E24" s="110" t="n"/>
      <c r="F24" s="75" t="n"/>
      <c r="G24" s="75" t="n"/>
      <c r="I24" s="76" t="inlineStr">
        <is>
          <t>আটা ও ময়দা</t>
        </is>
      </c>
      <c r="J24" s="112">
        <f>SUMIF($C$4:$C$203,$I24,$E$4:$E$203)</f>
        <v/>
      </c>
      <c r="K24" s="113">
        <f>IFERROR($J24/$J$12,0)</f>
        <v/>
      </c>
    </row>
    <row r="25" ht="15.75" customHeight="1" s="52">
      <c r="A25" s="114" t="n"/>
      <c r="B25" s="76" t="n"/>
      <c r="C25" s="76" t="n"/>
      <c r="D25" s="109">
        <f t="array" ref="D25:D25">IFERROR(INDEX(GroupLookup,MATCH(C25,CategoryList,0)),"")</f>
        <v/>
      </c>
      <c r="E25" s="112" t="n"/>
      <c r="F25" s="76" t="n"/>
      <c r="G25" s="76" t="n"/>
      <c r="I25" s="75" t="inlineStr">
        <is>
          <t>ডাল</t>
        </is>
      </c>
      <c r="J25" s="110">
        <f>SUMIF($C$4:$C$203,$I25,$E$4:$E$203)</f>
        <v/>
      </c>
      <c r="K25" s="111">
        <f>IFERROR($J25/$J$12,0)</f>
        <v/>
      </c>
    </row>
    <row r="26" ht="15.75" customHeight="1" s="52">
      <c r="A26" s="108" t="n"/>
      <c r="B26" s="75" t="n"/>
      <c r="C26" s="75" t="n"/>
      <c r="D26" s="109">
        <f t="array" ref="D26:D26">IFERROR(INDEX(GroupLookup,MATCH(C26,CategoryList,0)),"")</f>
        <v/>
      </c>
      <c r="E26" s="110" t="n"/>
      <c r="F26" s="75" t="n"/>
      <c r="G26" s="75" t="n"/>
      <c r="I26" s="76" t="inlineStr">
        <is>
          <t>মাছ</t>
        </is>
      </c>
      <c r="J26" s="112">
        <f>SUMIF($C$4:$C$203,$I26,$E$4:$E$203)</f>
        <v/>
      </c>
      <c r="K26" s="113">
        <f>IFERROR($J26/$J$12,0)</f>
        <v/>
      </c>
    </row>
    <row r="27" ht="15.75" customHeight="1" s="52">
      <c r="A27" s="114" t="n"/>
      <c r="B27" s="76" t="n"/>
      <c r="C27" s="76" t="n"/>
      <c r="D27" s="109">
        <f t="array" ref="D27:D27">IFERROR(INDEX(GroupLookup,MATCH(C27,CategoryList,0)),"")</f>
        <v/>
      </c>
      <c r="E27" s="112" t="n"/>
      <c r="F27" s="76" t="n"/>
      <c r="G27" s="76" t="n"/>
      <c r="I27" s="75" t="inlineStr">
        <is>
          <t>মাংস</t>
        </is>
      </c>
      <c r="J27" s="110">
        <f>SUMIF($C$4:$C$203,$I27,$E$4:$E$203)</f>
        <v/>
      </c>
      <c r="K27" s="111">
        <f>IFERROR($J27/$J$12,0)</f>
        <v/>
      </c>
    </row>
    <row r="28" ht="15.75" customHeight="1" s="52">
      <c r="A28" s="108" t="n"/>
      <c r="B28" s="75" t="n"/>
      <c r="C28" s="75" t="n"/>
      <c r="D28" s="109">
        <f t="array" ref="D28:D28">IFERROR(INDEX(GroupLookup,MATCH(C28,CategoryList,0)),"")</f>
        <v/>
      </c>
      <c r="E28" s="110" t="n"/>
      <c r="F28" s="75" t="n"/>
      <c r="G28" s="75" t="n"/>
      <c r="I28" s="76" t="inlineStr">
        <is>
          <t>ডিম</t>
        </is>
      </c>
      <c r="J28" s="112">
        <f>SUMIF($C$4:$C$203,$I28,$E$4:$E$203)</f>
        <v/>
      </c>
      <c r="K28" s="113">
        <f>IFERROR($J28/$J$12,0)</f>
        <v/>
      </c>
    </row>
    <row r="29" ht="15.75" customHeight="1" s="52">
      <c r="A29" s="114" t="n"/>
      <c r="B29" s="76" t="n"/>
      <c r="C29" s="76" t="n"/>
      <c r="D29" s="109">
        <f t="array" ref="D29:D29">IFERROR(INDEX(GroupLookup,MATCH(C29,CategoryList,0)),"")</f>
        <v/>
      </c>
      <c r="E29" s="112" t="n"/>
      <c r="F29" s="76" t="n"/>
      <c r="G29" s="76" t="n"/>
      <c r="I29" s="75" t="inlineStr">
        <is>
          <t>দুধ ও দুগ্ধজাত পণ্য</t>
        </is>
      </c>
      <c r="J29" s="110">
        <f>SUMIF($C$4:$C$203,$I29,$E$4:$E$203)</f>
        <v/>
      </c>
      <c r="K29" s="111">
        <f>IFERROR($J29/$J$12,0)</f>
        <v/>
      </c>
    </row>
    <row r="30" ht="15.75" customHeight="1" s="52">
      <c r="A30" s="108" t="n"/>
      <c r="B30" s="75" t="n"/>
      <c r="C30" s="75" t="n"/>
      <c r="D30" s="109">
        <f t="array" ref="D30:D30">IFERROR(INDEX(GroupLookup,MATCH(C30,CategoryList,0)),"")</f>
        <v/>
      </c>
      <c r="E30" s="110" t="n"/>
      <c r="F30" s="75" t="n"/>
      <c r="G30" s="75" t="n"/>
      <c r="I30" s="76" t="inlineStr">
        <is>
          <t>ভোজ্য তেল</t>
        </is>
      </c>
      <c r="J30" s="112">
        <f>SUMIF($C$4:$C$203,$I30,$E$4:$E$203)</f>
        <v/>
      </c>
      <c r="K30" s="113">
        <f>IFERROR($J30/$J$12,0)</f>
        <v/>
      </c>
    </row>
    <row r="31" ht="15.75" customHeight="1" s="52">
      <c r="A31" s="114" t="n"/>
      <c r="B31" s="76" t="n"/>
      <c r="C31" s="76" t="n"/>
      <c r="D31" s="109">
        <f t="array" ref="D31:D31">IFERROR(INDEX(GroupLookup,MATCH(C31,CategoryList,0)),"")</f>
        <v/>
      </c>
      <c r="E31" s="112" t="n"/>
      <c r="F31" s="76" t="n"/>
      <c r="G31" s="76" t="n"/>
      <c r="I31" s="75" t="inlineStr">
        <is>
          <t>শাক-সবজি</t>
        </is>
      </c>
      <c r="J31" s="110">
        <f>SUMIF($C$4:$C$203,$I31,$E$4:$E$203)</f>
        <v/>
      </c>
      <c r="K31" s="111">
        <f>IFERROR($J31/$J$12,0)</f>
        <v/>
      </c>
    </row>
    <row r="32" ht="15.75" customHeight="1" s="52">
      <c r="A32" s="108" t="n"/>
      <c r="B32" s="75" t="n"/>
      <c r="C32" s="75" t="n"/>
      <c r="D32" s="109">
        <f t="array" ref="D32:D32">IFERROR(INDEX(GroupLookup,MATCH(C32,CategoryList,0)),"")</f>
        <v/>
      </c>
      <c r="E32" s="110" t="n"/>
      <c r="F32" s="75" t="n"/>
      <c r="G32" s="75" t="n"/>
      <c r="I32" s="76" t="inlineStr">
        <is>
          <t>ফলমূল</t>
        </is>
      </c>
      <c r="J32" s="112">
        <f>SUMIF($C$4:$C$203,$I32,$E$4:$E$203)</f>
        <v/>
      </c>
      <c r="K32" s="113">
        <f>IFERROR($J32/$J$12,0)</f>
        <v/>
      </c>
    </row>
    <row r="33" ht="15.75" customHeight="1" s="52">
      <c r="A33" s="114" t="n"/>
      <c r="B33" s="76" t="n"/>
      <c r="C33" s="76" t="n"/>
      <c r="D33" s="109">
        <f t="array" ref="D33:D33">IFERROR(INDEX(GroupLookup,MATCH(C33,CategoryList,0)),"")</f>
        <v/>
      </c>
      <c r="E33" s="112" t="n"/>
      <c r="F33" s="76" t="n"/>
      <c r="G33" s="76" t="n"/>
      <c r="I33" s="75" t="inlineStr">
        <is>
          <t>মসলা</t>
        </is>
      </c>
      <c r="J33" s="110">
        <f>SUMIF($C$4:$C$203,$I33,$E$4:$E$203)</f>
        <v/>
      </c>
      <c r="K33" s="111">
        <f>IFERROR($J33/$J$12,0)</f>
        <v/>
      </c>
    </row>
    <row r="34" ht="15.75" customHeight="1" s="52">
      <c r="A34" s="108" t="n"/>
      <c r="B34" s="75" t="n"/>
      <c r="C34" s="75" t="n"/>
      <c r="D34" s="109">
        <f t="array" ref="D34:D34">IFERROR(INDEX(GroupLookup,MATCH(C34,CategoryList,0)),"")</f>
        <v/>
      </c>
      <c r="E34" s="110" t="n"/>
      <c r="F34" s="75" t="n"/>
      <c r="G34" s="75" t="n"/>
      <c r="I34" s="76" t="inlineStr">
        <is>
          <t>চিনি ও লবণ</t>
        </is>
      </c>
      <c r="J34" s="112">
        <f>SUMIF($C$4:$C$203,$I34,$E$4:$E$203)</f>
        <v/>
      </c>
      <c r="K34" s="113">
        <f>IFERROR($J34/$J$12,0)</f>
        <v/>
      </c>
    </row>
    <row r="35" ht="15.75" customHeight="1" s="52">
      <c r="A35" s="114" t="n"/>
      <c r="B35" s="76" t="n"/>
      <c r="C35" s="76" t="n"/>
      <c r="D35" s="109">
        <f t="array" ref="D35:D35">IFERROR(INDEX(GroupLookup,MATCH(C35,CategoryList,0)),"")</f>
        <v/>
      </c>
      <c r="E35" s="112" t="n"/>
      <c r="F35" s="76" t="n"/>
      <c r="G35" s="76" t="n"/>
      <c r="I35" s="75" t="inlineStr">
        <is>
          <t>চা ও কফি</t>
        </is>
      </c>
      <c r="J35" s="110">
        <f>SUMIF($C$4:$C$203,$I35,$E$4:$E$203)</f>
        <v/>
      </c>
      <c r="K35" s="111">
        <f>IFERROR($J35/$J$12,0)</f>
        <v/>
      </c>
    </row>
    <row r="36" ht="15.75" customHeight="1" s="52">
      <c r="A36" s="108" t="n"/>
      <c r="B36" s="75" t="n"/>
      <c r="C36" s="75" t="n"/>
      <c r="D36" s="109">
        <f t="array" ref="D36:D36">IFERROR(INDEX(GroupLookup,MATCH(C36,CategoryList,0)),"")</f>
        <v/>
      </c>
      <c r="E36" s="110" t="n"/>
      <c r="F36" s="75" t="n"/>
      <c r="G36" s="75" t="n"/>
      <c r="I36" s="76" t="inlineStr">
        <is>
          <t>নাশতা ও বেকারি</t>
        </is>
      </c>
      <c r="J36" s="112">
        <f>SUMIF($C$4:$C$203,$I36,$E$4:$E$203)</f>
        <v/>
      </c>
      <c r="K36" s="113">
        <f>IFERROR($J36/$J$12,0)</f>
        <v/>
      </c>
    </row>
    <row r="37" ht="15.75" customHeight="1" s="52">
      <c r="A37" s="114" t="n"/>
      <c r="B37" s="76" t="n"/>
      <c r="C37" s="76" t="n"/>
      <c r="D37" s="109">
        <f t="array" ref="D37:D37">IFERROR(INDEX(GroupLookup,MATCH(C37,CategoryList,0)),"")</f>
        <v/>
      </c>
      <c r="E37" s="112" t="n"/>
      <c r="F37" s="76" t="n"/>
      <c r="G37" s="76" t="n"/>
      <c r="I37" s="75" t="inlineStr">
        <is>
          <t>বাইরে খাওয়া / রেস্তোরাঁ</t>
        </is>
      </c>
      <c r="J37" s="110">
        <f>SUMIF($C$4:$C$203,$I37,$E$4:$E$203)</f>
        <v/>
      </c>
      <c r="K37" s="111">
        <f>IFERROR($J37/$J$12,0)</f>
        <v/>
      </c>
    </row>
    <row r="38" ht="15.75" customHeight="1" s="52">
      <c r="A38" s="108" t="n"/>
      <c r="B38" s="75" t="n"/>
      <c r="C38" s="75" t="n"/>
      <c r="D38" s="109">
        <f t="array" ref="D38:D38">IFERROR(INDEX(GroupLookup,MATCH(C38,CategoryList,0)),"")</f>
        <v/>
      </c>
      <c r="E38" s="110" t="n"/>
      <c r="F38" s="75" t="n"/>
      <c r="G38" s="75" t="n"/>
      <c r="I38" s="76" t="inlineStr">
        <is>
          <t>বাড়ি ভাড়া</t>
        </is>
      </c>
      <c r="J38" s="112">
        <f>SUMIF($C$4:$C$203,$I38,$E$4:$E$203)</f>
        <v/>
      </c>
      <c r="K38" s="113">
        <f>IFERROR($J38/$J$12,0)</f>
        <v/>
      </c>
    </row>
    <row r="39" ht="15.75" customHeight="1" s="52">
      <c r="A39" s="114" t="n"/>
      <c r="B39" s="76" t="n"/>
      <c r="C39" s="76" t="n"/>
      <c r="D39" s="109">
        <f t="array" ref="D39:D39">IFERROR(INDEX(GroupLookup,MATCH(C39,CategoryList,0)),"")</f>
        <v/>
      </c>
      <c r="E39" s="112" t="n"/>
      <c r="F39" s="76" t="n"/>
      <c r="G39" s="76" t="n"/>
      <c r="I39" s="75" t="inlineStr">
        <is>
          <t>সার্ভিস চার্জ</t>
        </is>
      </c>
      <c r="J39" s="110">
        <f>SUMIF($C$4:$C$203,$I39,$E$4:$E$203)</f>
        <v/>
      </c>
      <c r="K39" s="111">
        <f>IFERROR($J39/$J$12,0)</f>
        <v/>
      </c>
    </row>
    <row r="40" ht="15.75" customHeight="1" s="52">
      <c r="A40" s="108" t="n"/>
      <c r="B40" s="75" t="n"/>
      <c r="C40" s="75" t="n"/>
      <c r="D40" s="109">
        <f t="array" ref="D40:D40">IFERROR(INDEX(GroupLookup,MATCH(C40,CategoryList,0)),"")</f>
        <v/>
      </c>
      <c r="E40" s="110" t="n"/>
      <c r="F40" s="75" t="n"/>
      <c r="G40" s="75" t="n"/>
      <c r="I40" s="76" t="inlineStr">
        <is>
          <t>বাড়ি মেরামত ও রক্ষণাবেক্ষণ</t>
        </is>
      </c>
      <c r="J40" s="112">
        <f>SUMIF($C$4:$C$203,$I40,$E$4:$E$203)</f>
        <v/>
      </c>
      <c r="K40" s="113">
        <f>IFERROR($J40/$J$12,0)</f>
        <v/>
      </c>
    </row>
    <row r="41" ht="15.75" customHeight="1" s="52">
      <c r="A41" s="114" t="n"/>
      <c r="B41" s="76" t="n"/>
      <c r="C41" s="76" t="n"/>
      <c r="D41" s="109">
        <f t="array" ref="D41:D41">IFERROR(INDEX(GroupLookup,MATCH(C41,CategoryList,0)),"")</f>
        <v/>
      </c>
      <c r="E41" s="112" t="n"/>
      <c r="F41" s="76" t="n"/>
      <c r="G41" s="76" t="n"/>
      <c r="I41" s="75" t="inlineStr">
        <is>
          <t>গৃহকর্মীর বেতন</t>
        </is>
      </c>
      <c r="J41" s="110">
        <f>SUMIF($C$4:$C$203,$I41,$E$4:$E$203)</f>
        <v/>
      </c>
      <c r="K41" s="111">
        <f>IFERROR($J41/$J$12,0)</f>
        <v/>
      </c>
    </row>
    <row r="42" ht="15.75" customHeight="1" s="52">
      <c r="A42" s="108" t="n"/>
      <c r="B42" s="75" t="n"/>
      <c r="C42" s="75" t="n"/>
      <c r="D42" s="109">
        <f t="array" ref="D42:D42">IFERROR(INDEX(GroupLookup,MATCH(C42,CategoryList,0)),"")</f>
        <v/>
      </c>
      <c r="E42" s="110" t="n"/>
      <c r="F42" s="75" t="n"/>
      <c r="G42" s="75" t="n"/>
      <c r="I42" s="76" t="inlineStr">
        <is>
          <t>আসবাবপত্র</t>
        </is>
      </c>
      <c r="J42" s="112">
        <f>SUMIF($C$4:$C$203,$I42,$E$4:$E$203)</f>
        <v/>
      </c>
      <c r="K42" s="113">
        <f>IFERROR($J42/$J$12,0)</f>
        <v/>
      </c>
    </row>
    <row r="43" ht="15.75" customHeight="1" s="52">
      <c r="A43" s="114" t="n"/>
      <c r="B43" s="76" t="n"/>
      <c r="C43" s="76" t="n"/>
      <c r="D43" s="109">
        <f t="array" ref="D43:D43">IFERROR(INDEX(GroupLookup,MATCH(C43,CategoryList,0)),"")</f>
        <v/>
      </c>
      <c r="E43" s="112" t="n"/>
      <c r="F43" s="76" t="n"/>
      <c r="G43" s="76" t="n"/>
      <c r="I43" s="75" t="inlineStr">
        <is>
          <t>বিদ্যুৎ বিল</t>
        </is>
      </c>
      <c r="J43" s="110">
        <f>SUMIF($C$4:$C$203,$I43,$E$4:$E$203)</f>
        <v/>
      </c>
      <c r="K43" s="111">
        <f>IFERROR($J43/$J$12,0)</f>
        <v/>
      </c>
    </row>
    <row r="44" ht="15.75" customHeight="1" s="52">
      <c r="A44" s="108" t="n"/>
      <c r="B44" s="75" t="n"/>
      <c r="C44" s="75" t="n"/>
      <c r="D44" s="109">
        <f t="array" ref="D44:D44">IFERROR(INDEX(GroupLookup,MATCH(C44,CategoryList,0)),"")</f>
        <v/>
      </c>
      <c r="E44" s="110" t="n"/>
      <c r="F44" s="75" t="n"/>
      <c r="G44" s="75" t="n"/>
      <c r="I44" s="76" t="inlineStr">
        <is>
          <t>গ্যাস বিল</t>
        </is>
      </c>
      <c r="J44" s="112">
        <f>SUMIF($C$4:$C$203,$I44,$E$4:$E$203)</f>
        <v/>
      </c>
      <c r="K44" s="113">
        <f>IFERROR($J44/$J$12,0)</f>
        <v/>
      </c>
    </row>
    <row r="45" ht="15.75" customHeight="1" s="52">
      <c r="A45" s="114" t="n"/>
      <c r="B45" s="76" t="n"/>
      <c r="C45" s="76" t="n"/>
      <c r="D45" s="109">
        <f t="array" ref="D45:D45">IFERROR(INDEX(GroupLookup,MATCH(C45,CategoryList,0)),"")</f>
        <v/>
      </c>
      <c r="E45" s="112" t="n"/>
      <c r="F45" s="76" t="n"/>
      <c r="G45" s="76" t="n"/>
      <c r="I45" s="75" t="inlineStr">
        <is>
          <t>পানির বিল</t>
        </is>
      </c>
      <c r="J45" s="110">
        <f>SUMIF($C$4:$C$203,$I45,$E$4:$E$203)</f>
        <v/>
      </c>
      <c r="K45" s="111">
        <f>IFERROR($J45/$J$12,0)</f>
        <v/>
      </c>
    </row>
    <row r="46" ht="15.75" customHeight="1" s="52">
      <c r="A46" s="108" t="n"/>
      <c r="B46" s="75" t="n"/>
      <c r="C46" s="75" t="n"/>
      <c r="D46" s="109">
        <f t="array" ref="D46:D46">IFERROR(INDEX(GroupLookup,MATCH(C46,CategoryList,0)),"")</f>
        <v/>
      </c>
      <c r="E46" s="110" t="n"/>
      <c r="F46" s="75" t="n"/>
      <c r="G46" s="75" t="n"/>
      <c r="I46" s="76" t="inlineStr">
        <is>
          <t>ইন্টারনেট বিল</t>
        </is>
      </c>
      <c r="J46" s="112">
        <f>SUMIF($C$4:$C$203,$I46,$E$4:$E$203)</f>
        <v/>
      </c>
      <c r="K46" s="113">
        <f>IFERROR($J46/$J$12,0)</f>
        <v/>
      </c>
    </row>
    <row r="47" ht="15.75" customHeight="1" s="52">
      <c r="A47" s="114" t="n"/>
      <c r="B47" s="76" t="n"/>
      <c r="C47" s="76" t="n"/>
      <c r="D47" s="109">
        <f t="array" ref="D47:D47">IFERROR(INDEX(GroupLookup,MATCH(C47,CategoryList,0)),"")</f>
        <v/>
      </c>
      <c r="E47" s="112" t="n"/>
      <c r="F47" s="76" t="n"/>
      <c r="G47" s="76" t="n"/>
      <c r="I47" s="75" t="inlineStr">
        <is>
          <t>মোবাইল রিচার্জ</t>
        </is>
      </c>
      <c r="J47" s="110">
        <f>SUMIF($C$4:$C$203,$I47,$E$4:$E$203)</f>
        <v/>
      </c>
      <c r="K47" s="111">
        <f>IFERROR($J47/$J$12,0)</f>
        <v/>
      </c>
    </row>
    <row r="48" ht="15.75" customHeight="1" s="52">
      <c r="A48" s="108" t="n"/>
      <c r="B48" s="75" t="n"/>
      <c r="C48" s="75" t="n"/>
      <c r="D48" s="109">
        <f t="array" ref="D48:D48">IFERROR(INDEX(GroupLookup,MATCH(C48,CategoryList,0)),"")</f>
        <v/>
      </c>
      <c r="E48" s="110" t="n"/>
      <c r="F48" s="75" t="n"/>
      <c r="G48" s="75" t="n"/>
      <c r="I48" s="76" t="inlineStr">
        <is>
          <t>ডিশ / ক্যাবল বিল</t>
        </is>
      </c>
      <c r="J48" s="112">
        <f>SUMIF($C$4:$C$203,$I48,$E$4:$E$203)</f>
        <v/>
      </c>
      <c r="K48" s="113">
        <f>IFERROR($J48/$J$12,0)</f>
        <v/>
      </c>
    </row>
    <row r="49" ht="15.75" customHeight="1" s="52">
      <c r="A49" s="114" t="n"/>
      <c r="B49" s="76" t="n"/>
      <c r="C49" s="76" t="n"/>
      <c r="D49" s="109">
        <f t="array" ref="D49:D49">IFERROR(INDEX(GroupLookup,MATCH(C49,CategoryList,0)),"")</f>
        <v/>
      </c>
      <c r="E49" s="112" t="n"/>
      <c r="F49" s="76" t="n"/>
      <c r="G49" s="76" t="n"/>
      <c r="I49" s="75" t="inlineStr">
        <is>
          <t>পৌর কর ও হোল্ডিং ট্যাক্স</t>
        </is>
      </c>
      <c r="J49" s="110">
        <f>SUMIF($C$4:$C$203,$I49,$E$4:$E$203)</f>
        <v/>
      </c>
      <c r="K49" s="111">
        <f>IFERROR($J49/$J$12,0)</f>
        <v/>
      </c>
    </row>
    <row r="50" ht="15.75" customHeight="1" s="52">
      <c r="A50" s="108" t="n"/>
      <c r="B50" s="75" t="n"/>
      <c r="C50" s="75" t="n"/>
      <c r="D50" s="109">
        <f t="array" ref="D50:D50">IFERROR(INDEX(GroupLookup,MATCH(C50,CategoryList,0)),"")</f>
        <v/>
      </c>
      <c r="E50" s="110" t="n"/>
      <c r="F50" s="75" t="n"/>
      <c r="G50" s="75" t="n"/>
      <c r="I50" s="76" t="inlineStr">
        <is>
          <t>ময়লা ও পরিচ্ছন্নতা বিল</t>
        </is>
      </c>
      <c r="J50" s="112">
        <f>SUMIF($C$4:$C$203,$I50,$E$4:$E$203)</f>
        <v/>
      </c>
      <c r="K50" s="113">
        <f>IFERROR($J50/$J$12,0)</f>
        <v/>
      </c>
    </row>
    <row r="51" ht="15.75" customHeight="1" s="52">
      <c r="A51" s="114" t="n"/>
      <c r="B51" s="76" t="n"/>
      <c r="C51" s="76" t="n"/>
      <c r="D51" s="109">
        <f t="array" ref="D51:D51">IFERROR(INDEX(GroupLookup,MATCH(C51,CategoryList,0)),"")</f>
        <v/>
      </c>
      <c r="E51" s="112" t="n"/>
      <c r="F51" s="76" t="n"/>
      <c r="G51" s="76" t="n"/>
      <c r="I51" s="75" t="inlineStr">
        <is>
          <t>রিকশা / সিএনজি</t>
        </is>
      </c>
      <c r="J51" s="110">
        <f>SUMIF($C$4:$C$203,$I51,$E$4:$E$203)</f>
        <v/>
      </c>
      <c r="K51" s="111">
        <f>IFERROR($J51/$J$12,0)</f>
        <v/>
      </c>
    </row>
    <row r="52" ht="15.75" customHeight="1" s="52">
      <c r="A52" s="108" t="n"/>
      <c r="B52" s="75" t="n"/>
      <c r="C52" s="75" t="n"/>
      <c r="D52" s="109">
        <f t="array" ref="D52:D52">IFERROR(INDEX(GroupLookup,MATCH(C52,CategoryList,0)),"")</f>
        <v/>
      </c>
      <c r="E52" s="110" t="n"/>
      <c r="F52" s="75" t="n"/>
      <c r="G52" s="75" t="n"/>
      <c r="I52" s="76" t="inlineStr">
        <is>
          <t>বাস / ট্রেন / লঞ্চ ভাড়া</t>
        </is>
      </c>
      <c r="J52" s="112">
        <f>SUMIF($C$4:$C$203,$I52,$E$4:$E$203)</f>
        <v/>
      </c>
      <c r="K52" s="113">
        <f>IFERROR($J52/$J$12,0)</f>
        <v/>
      </c>
    </row>
    <row r="53" ht="15.75" customHeight="1" s="52">
      <c r="A53" s="114" t="n"/>
      <c r="B53" s="76" t="n"/>
      <c r="C53" s="76" t="n"/>
      <c r="D53" s="109">
        <f t="array" ref="D53:D53">IFERROR(INDEX(GroupLookup,MATCH(C53,CategoryList,0)),"")</f>
        <v/>
      </c>
      <c r="E53" s="112" t="n"/>
      <c r="F53" s="76" t="n"/>
      <c r="G53" s="76" t="n"/>
      <c r="I53" s="75" t="inlineStr">
        <is>
          <t>রাইড শেয়ারিং</t>
        </is>
      </c>
      <c r="J53" s="110">
        <f>SUMIF($C$4:$C$203,$I53,$E$4:$E$203)</f>
        <v/>
      </c>
      <c r="K53" s="111">
        <f>IFERROR($J53/$J$12,0)</f>
        <v/>
      </c>
    </row>
    <row r="54" ht="15.75" customHeight="1" s="52">
      <c r="A54" s="108" t="n"/>
      <c r="B54" s="75" t="n"/>
      <c r="C54" s="75" t="n"/>
      <c r="D54" s="109">
        <f t="array" ref="D54:D54">IFERROR(INDEX(GroupLookup,MATCH(C54,CategoryList,0)),"")</f>
        <v/>
      </c>
      <c r="E54" s="110" t="n"/>
      <c r="F54" s="75" t="n"/>
      <c r="G54" s="75" t="n"/>
      <c r="I54" s="76" t="inlineStr">
        <is>
          <t>জ্বালানি (পেট্রোল / ডিজেল)</t>
        </is>
      </c>
      <c r="J54" s="112">
        <f>SUMIF($C$4:$C$203,$I54,$E$4:$E$203)</f>
        <v/>
      </c>
      <c r="K54" s="113">
        <f>IFERROR($J54/$J$12,0)</f>
        <v/>
      </c>
    </row>
    <row r="55" ht="15.75" customHeight="1" s="52">
      <c r="A55" s="114" t="n"/>
      <c r="B55" s="76" t="n"/>
      <c r="C55" s="76" t="n"/>
      <c r="D55" s="109">
        <f t="array" ref="D55:D55">IFERROR(INDEX(GroupLookup,MATCH(C55,CategoryList,0)),"")</f>
        <v/>
      </c>
      <c r="E55" s="112" t="n"/>
      <c r="F55" s="76" t="n"/>
      <c r="G55" s="76" t="n"/>
      <c r="I55" s="75" t="inlineStr">
        <is>
          <t>গাড়ি / বাইক রক্ষণাবেক্ষণ</t>
        </is>
      </c>
      <c r="J55" s="110">
        <f>SUMIF($C$4:$C$203,$I55,$E$4:$E$203)</f>
        <v/>
      </c>
      <c r="K55" s="111">
        <f>IFERROR($J55/$J$12,0)</f>
        <v/>
      </c>
    </row>
    <row r="56" ht="15.75" customHeight="1" s="52">
      <c r="A56" s="108" t="n"/>
      <c r="B56" s="75" t="n"/>
      <c r="C56" s="75" t="n"/>
      <c r="D56" s="109">
        <f t="array" ref="D56:D56">IFERROR(INDEX(GroupLookup,MATCH(C56,CategoryList,0)),"")</f>
        <v/>
      </c>
      <c r="E56" s="110" t="n"/>
      <c r="F56" s="75" t="n"/>
      <c r="G56" s="75" t="n"/>
      <c r="I56" s="76" t="inlineStr">
        <is>
          <t>পার্কিং ও টোল</t>
        </is>
      </c>
      <c r="J56" s="112">
        <f>SUMIF($C$4:$C$203,$I56,$E$4:$E$203)</f>
        <v/>
      </c>
      <c r="K56" s="113">
        <f>IFERROR($J56/$J$12,0)</f>
        <v/>
      </c>
    </row>
    <row r="57" ht="15.75" customHeight="1" s="52">
      <c r="A57" s="114" t="n"/>
      <c r="B57" s="76" t="n"/>
      <c r="C57" s="76" t="n"/>
      <c r="D57" s="109">
        <f t="array" ref="D57:D57">IFERROR(INDEX(GroupLookup,MATCH(C57,CategoryList,0)),"")</f>
        <v/>
      </c>
      <c r="E57" s="112" t="n"/>
      <c r="F57" s="76" t="n"/>
      <c r="G57" s="76" t="n"/>
      <c r="I57" s="75" t="inlineStr">
        <is>
          <t>ওষুধ</t>
        </is>
      </c>
      <c r="J57" s="110">
        <f>SUMIF($C$4:$C$203,$I57,$E$4:$E$203)</f>
        <v/>
      </c>
      <c r="K57" s="111">
        <f>IFERROR($J57/$J$12,0)</f>
        <v/>
      </c>
    </row>
    <row r="58" ht="15.75" customHeight="1" s="52">
      <c r="A58" s="108" t="n"/>
      <c r="B58" s="75" t="n"/>
      <c r="C58" s="75" t="n"/>
      <c r="D58" s="109">
        <f t="array" ref="D58:D58">IFERROR(INDEX(GroupLookup,MATCH(C58,CategoryList,0)),"")</f>
        <v/>
      </c>
      <c r="E58" s="110" t="n"/>
      <c r="F58" s="75" t="n"/>
      <c r="G58" s="75" t="n"/>
      <c r="I58" s="76" t="inlineStr">
        <is>
          <t>ডাক্তারের ফি</t>
        </is>
      </c>
      <c r="J58" s="112">
        <f>SUMIF($C$4:$C$203,$I58,$E$4:$E$203)</f>
        <v/>
      </c>
      <c r="K58" s="113">
        <f>IFERROR($J58/$J$12,0)</f>
        <v/>
      </c>
    </row>
    <row r="59" ht="15.75" customHeight="1" s="52">
      <c r="A59" s="114" t="n"/>
      <c r="B59" s="76" t="n"/>
      <c r="C59" s="76" t="n"/>
      <c r="D59" s="109">
        <f t="array" ref="D59:D59">IFERROR(INDEX(GroupLookup,MATCH(C59,CategoryList,0)),"")</f>
        <v/>
      </c>
      <c r="E59" s="112" t="n"/>
      <c r="F59" s="76" t="n"/>
      <c r="G59" s="76" t="n"/>
      <c r="I59" s="75" t="inlineStr">
        <is>
          <t>চিকিৎসা পরীক্ষা</t>
        </is>
      </c>
      <c r="J59" s="110">
        <f>SUMIF($C$4:$C$203,$I59,$E$4:$E$203)</f>
        <v/>
      </c>
      <c r="K59" s="111">
        <f>IFERROR($J59/$J$12,0)</f>
        <v/>
      </c>
    </row>
    <row r="60" ht="15.75" customHeight="1" s="52">
      <c r="A60" s="108" t="n"/>
      <c r="B60" s="75" t="n"/>
      <c r="C60" s="75" t="n"/>
      <c r="D60" s="109">
        <f t="array" ref="D60:D60">IFERROR(INDEX(GroupLookup,MATCH(C60,CategoryList,0)),"")</f>
        <v/>
      </c>
      <c r="E60" s="110" t="n"/>
      <c r="F60" s="75" t="n"/>
      <c r="G60" s="75" t="n"/>
      <c r="I60" s="76" t="inlineStr">
        <is>
          <t>স্বাস্থ্য বীমা</t>
        </is>
      </c>
      <c r="J60" s="112">
        <f>SUMIF($C$4:$C$203,$I60,$E$4:$E$203)</f>
        <v/>
      </c>
      <c r="K60" s="113">
        <f>IFERROR($J60/$J$12,0)</f>
        <v/>
      </c>
    </row>
    <row r="61" ht="15.75" customHeight="1" s="52">
      <c r="A61" s="114" t="n"/>
      <c r="B61" s="76" t="n"/>
      <c r="C61" s="76" t="n"/>
      <c r="D61" s="109">
        <f t="array" ref="D61:D61">IFERROR(INDEX(GroupLookup,MATCH(C61,CategoryList,0)),"")</f>
        <v/>
      </c>
      <c r="E61" s="112" t="n"/>
      <c r="F61" s="76" t="n"/>
      <c r="G61" s="76" t="n"/>
      <c r="I61" s="75" t="inlineStr">
        <is>
          <t>স্কুল / কলেজ ফি</t>
        </is>
      </c>
      <c r="J61" s="110">
        <f>SUMIF($C$4:$C$203,$I61,$E$4:$E$203)</f>
        <v/>
      </c>
      <c r="K61" s="111">
        <f>IFERROR($J61/$J$12,0)</f>
        <v/>
      </c>
    </row>
    <row r="62" ht="15.75" customHeight="1" s="52">
      <c r="A62" s="108" t="n"/>
      <c r="B62" s="75" t="n"/>
      <c r="C62" s="75" t="n"/>
      <c r="D62" s="109">
        <f t="array" ref="D62:D62">IFERROR(INDEX(GroupLookup,MATCH(C62,CategoryList,0)),"")</f>
        <v/>
      </c>
      <c r="E62" s="110" t="n"/>
      <c r="F62" s="75" t="n"/>
      <c r="G62" s="75" t="n"/>
      <c r="I62" s="76" t="inlineStr">
        <is>
          <t>প্রাইভেট / কোচিং</t>
        </is>
      </c>
      <c r="J62" s="112">
        <f>SUMIF($C$4:$C$203,$I62,$E$4:$E$203)</f>
        <v/>
      </c>
      <c r="K62" s="113">
        <f>IFERROR($J62/$J$12,0)</f>
        <v/>
      </c>
    </row>
    <row r="63" ht="15.75" customHeight="1" s="52">
      <c r="A63" s="114" t="n"/>
      <c r="B63" s="76" t="n"/>
      <c r="C63" s="76" t="n"/>
      <c r="D63" s="109">
        <f t="array" ref="D63:D63">IFERROR(INDEX(GroupLookup,MATCH(C63,CategoryList,0)),"")</f>
        <v/>
      </c>
      <c r="E63" s="112" t="n"/>
      <c r="F63" s="76" t="n"/>
      <c r="G63" s="76" t="n"/>
      <c r="I63" s="75" t="inlineStr">
        <is>
          <t>বই ও শিক্ষা উপকরণ</t>
        </is>
      </c>
      <c r="J63" s="110">
        <f>SUMIF($C$4:$C$203,$I63,$E$4:$E$203)</f>
        <v/>
      </c>
      <c r="K63" s="111">
        <f>IFERROR($J63/$J$12,0)</f>
        <v/>
      </c>
    </row>
    <row r="64" ht="15.75" customHeight="1" s="52">
      <c r="A64" s="108" t="n"/>
      <c r="B64" s="75" t="n"/>
      <c r="C64" s="75" t="n"/>
      <c r="D64" s="109">
        <f t="array" ref="D64:D64">IFERROR(INDEX(GroupLookup,MATCH(C64,CategoryList,0)),"")</f>
        <v/>
      </c>
      <c r="E64" s="110" t="n"/>
      <c r="F64" s="75" t="n"/>
      <c r="G64" s="75" t="n"/>
      <c r="I64" s="76" t="inlineStr">
        <is>
          <t>পরীক্ষার ফি</t>
        </is>
      </c>
      <c r="J64" s="112">
        <f>SUMIF($C$4:$C$203,$I64,$E$4:$E$203)</f>
        <v/>
      </c>
      <c r="K64" s="113">
        <f>IFERROR($J64/$J$12,0)</f>
        <v/>
      </c>
    </row>
    <row r="65" ht="15.75" customHeight="1" s="52">
      <c r="A65" s="114" t="n"/>
      <c r="B65" s="76" t="n"/>
      <c r="C65" s="76" t="n"/>
      <c r="D65" s="109">
        <f t="array" ref="D65:D65">IFERROR(INDEX(GroupLookup,MATCH(C65,CategoryList,0)),"")</f>
        <v/>
      </c>
      <c r="E65" s="112" t="n"/>
      <c r="F65" s="76" t="n"/>
      <c r="G65" s="76" t="n"/>
      <c r="I65" s="75" t="inlineStr">
        <is>
          <t>পোশাক ও জুতা</t>
        </is>
      </c>
      <c r="J65" s="110">
        <f>SUMIF($C$4:$C$203,$I65,$E$4:$E$203)</f>
        <v/>
      </c>
      <c r="K65" s="111">
        <f>IFERROR($J65/$J$12,0)</f>
        <v/>
      </c>
    </row>
    <row r="66" ht="15.75" customHeight="1" s="52">
      <c r="A66" s="108" t="n"/>
      <c r="B66" s="75" t="n"/>
      <c r="C66" s="75" t="n"/>
      <c r="D66" s="109">
        <f t="array" ref="D66:D66">IFERROR(INDEX(GroupLookup,MATCH(C66,CategoryList,0)),"")</f>
        <v/>
      </c>
      <c r="E66" s="110" t="n"/>
      <c r="F66" s="75" t="n"/>
      <c r="G66" s="75" t="n"/>
      <c r="I66" s="76" t="inlineStr">
        <is>
          <t>প্রসাধনী ও পরিচর্যা</t>
        </is>
      </c>
      <c r="J66" s="112">
        <f>SUMIF($C$4:$C$203,$I66,$E$4:$E$203)</f>
        <v/>
      </c>
      <c r="K66" s="113">
        <f>IFERROR($J66/$J$12,0)</f>
        <v/>
      </c>
    </row>
    <row r="67" ht="15.75" customHeight="1" s="52">
      <c r="A67" s="114" t="n"/>
      <c r="B67" s="76" t="n"/>
      <c r="C67" s="76" t="n"/>
      <c r="D67" s="109">
        <f t="array" ref="D67:D67">IFERROR(INDEX(GroupLookup,MATCH(C67,CategoryList,0)),"")</f>
        <v/>
      </c>
      <c r="E67" s="112" t="n"/>
      <c r="F67" s="76" t="n"/>
      <c r="G67" s="76" t="n"/>
      <c r="I67" s="75" t="inlineStr">
        <is>
          <t>সাবান ও ডিটারজেন্ট</t>
        </is>
      </c>
      <c r="J67" s="110">
        <f>SUMIF($C$4:$C$203,$I67,$E$4:$E$203)</f>
        <v/>
      </c>
      <c r="K67" s="111">
        <f>IFERROR($J67/$J$12,0)</f>
        <v/>
      </c>
    </row>
    <row r="68" ht="15.75" customHeight="1" s="52">
      <c r="A68" s="108" t="n"/>
      <c r="B68" s="75" t="n"/>
      <c r="C68" s="75" t="n"/>
      <c r="D68" s="109">
        <f t="array" ref="D68:D68">IFERROR(INDEX(GroupLookup,MATCH(C68,CategoryList,0)),"")</f>
        <v/>
      </c>
      <c r="E68" s="110" t="n"/>
      <c r="F68" s="75" t="n"/>
      <c r="G68" s="75" t="n"/>
      <c r="I68" s="76" t="inlineStr">
        <is>
          <t>গৃহস্থালি সামগ্রী</t>
        </is>
      </c>
      <c r="J68" s="112">
        <f>SUMIF($C$4:$C$203,$I68,$E$4:$E$203)</f>
        <v/>
      </c>
      <c r="K68" s="113">
        <f>IFERROR($J68/$J$12,0)</f>
        <v/>
      </c>
    </row>
    <row r="69" ht="15.75" customHeight="1" s="52">
      <c r="A69" s="114" t="n"/>
      <c r="B69" s="76" t="n"/>
      <c r="C69" s="76" t="n"/>
      <c r="D69" s="109">
        <f t="array" ref="D69:D69">IFERROR(INDEX(GroupLookup,MATCH(C69,CategoryList,0)),"")</f>
        <v/>
      </c>
      <c r="E69" s="112" t="n"/>
      <c r="F69" s="76" t="n"/>
      <c r="G69" s="76" t="n"/>
      <c r="I69" s="75" t="inlineStr">
        <is>
          <t>সেলুন / পার্লার</t>
        </is>
      </c>
      <c r="J69" s="110">
        <f>SUMIF($C$4:$C$203,$I69,$E$4:$E$203)</f>
        <v/>
      </c>
      <c r="K69" s="111">
        <f>IFERROR($J69/$J$12,0)</f>
        <v/>
      </c>
    </row>
    <row r="70" ht="15.75" customHeight="1" s="52">
      <c r="A70" s="108" t="n"/>
      <c r="B70" s="75" t="n"/>
      <c r="C70" s="75" t="n"/>
      <c r="D70" s="109">
        <f t="array" ref="D70:D70">IFERROR(INDEX(GroupLookup,MATCH(C70,CategoryList,0)),"")</f>
        <v/>
      </c>
      <c r="E70" s="110" t="n"/>
      <c r="F70" s="75" t="n"/>
      <c r="G70" s="75" t="n"/>
      <c r="I70" s="76" t="inlineStr">
        <is>
          <t>বিনোদন ও ঘোরাঘুরি</t>
        </is>
      </c>
      <c r="J70" s="112">
        <f>SUMIF($C$4:$C$203,$I70,$E$4:$E$203)</f>
        <v/>
      </c>
      <c r="K70" s="113">
        <f>IFERROR($J70/$J$12,0)</f>
        <v/>
      </c>
    </row>
    <row r="71" ht="15.75" customHeight="1" s="52">
      <c r="A71" s="114" t="n"/>
      <c r="B71" s="76" t="n"/>
      <c r="C71" s="76" t="n"/>
      <c r="D71" s="109">
        <f t="array" ref="D71:D71">IFERROR(INDEX(GroupLookup,MATCH(C71,CategoryList,0)),"")</f>
        <v/>
      </c>
      <c r="E71" s="112" t="n"/>
      <c r="F71" s="76" t="n"/>
      <c r="G71" s="76" t="n"/>
      <c r="I71" s="75" t="inlineStr">
        <is>
          <t>উপহার ও অনুষ্ঠান</t>
        </is>
      </c>
      <c r="J71" s="110">
        <f>SUMIF($C$4:$C$203,$I71,$E$4:$E$203)</f>
        <v/>
      </c>
      <c r="K71" s="111">
        <f>IFERROR($J71/$J$12,0)</f>
        <v/>
      </c>
    </row>
    <row r="72" ht="15.75" customHeight="1" s="52">
      <c r="A72" s="108" t="n"/>
      <c r="B72" s="75" t="n"/>
      <c r="C72" s="75" t="n"/>
      <c r="D72" s="109">
        <f t="array" ref="D72:D72">IFERROR(INDEX(GroupLookup,MATCH(C72,CategoryList,0)),"")</f>
        <v/>
      </c>
      <c r="E72" s="110" t="n"/>
      <c r="F72" s="75" t="n"/>
      <c r="G72" s="75" t="n"/>
      <c r="I72" s="76" t="inlineStr">
        <is>
          <t>দান ও যাকাত</t>
        </is>
      </c>
      <c r="J72" s="112">
        <f>SUMIF($C$4:$C$203,$I72,$E$4:$E$203)</f>
        <v/>
      </c>
      <c r="K72" s="113">
        <f>IFERROR($J72/$J$12,0)</f>
        <v/>
      </c>
    </row>
    <row r="73" ht="15.75" customHeight="1" s="52">
      <c r="A73" s="114" t="n"/>
      <c r="B73" s="76" t="n"/>
      <c r="C73" s="76" t="n"/>
      <c r="D73" s="109">
        <f t="array" ref="D73:D73">IFERROR(INDEX(GroupLookup,MATCH(C73,CategoryList,0)),"")</f>
        <v/>
      </c>
      <c r="E73" s="112" t="n"/>
      <c r="F73" s="76" t="n"/>
      <c r="G73" s="76" t="n"/>
      <c r="I73" s="75" t="inlineStr">
        <is>
          <t>সঞ্চয় ও বিনিয়োগ</t>
        </is>
      </c>
      <c r="J73" s="110">
        <f>SUMIF($C$4:$C$203,$I73,$E$4:$E$203)</f>
        <v/>
      </c>
      <c r="K73" s="111">
        <f>IFERROR($J73/$J$12,0)</f>
        <v/>
      </c>
    </row>
    <row r="74" ht="15.75" customHeight="1" s="52">
      <c r="A74" s="108" t="n"/>
      <c r="B74" s="75" t="n"/>
      <c r="C74" s="75" t="n"/>
      <c r="D74" s="109">
        <f t="array" ref="D74:D74">IFERROR(INDEX(GroupLookup,MATCH(C74,CategoryList,0)),"")</f>
        <v/>
      </c>
      <c r="E74" s="110" t="n"/>
      <c r="F74" s="75" t="n"/>
      <c r="G74" s="75" t="n"/>
      <c r="I74" s="76" t="inlineStr">
        <is>
          <t>ঋণ পরিশোধ / কিস্তি</t>
        </is>
      </c>
      <c r="J74" s="112">
        <f>SUMIF($C$4:$C$203,$I74,$E$4:$E$203)</f>
        <v/>
      </c>
      <c r="K74" s="113">
        <f>IFERROR($J74/$J$12,0)</f>
        <v/>
      </c>
    </row>
    <row r="75" ht="15.75" customHeight="1" s="52">
      <c r="A75" s="114" t="n"/>
      <c r="B75" s="76" t="n"/>
      <c r="C75" s="76" t="n"/>
      <c r="D75" s="109">
        <f t="array" ref="D75:D75">IFERROR(INDEX(GroupLookup,MATCH(C75,CategoryList,0)),"")</f>
        <v/>
      </c>
      <c r="E75" s="112" t="n"/>
      <c r="F75" s="76" t="n"/>
      <c r="G75" s="76" t="n"/>
      <c r="I75" s="75" t="inlineStr">
        <is>
          <t>বীমা প্রিমিয়াম</t>
        </is>
      </c>
      <c r="J75" s="110">
        <f>SUMIF($C$4:$C$203,$I75,$E$4:$E$203)</f>
        <v/>
      </c>
      <c r="K75" s="111">
        <f>IFERROR($J75/$J$12,0)</f>
        <v/>
      </c>
    </row>
    <row r="76" ht="15.75" customHeight="1" s="52">
      <c r="A76" s="108" t="n"/>
      <c r="B76" s="75" t="n"/>
      <c r="C76" s="75" t="n"/>
      <c r="D76" s="109">
        <f t="array" ref="D76:D76">IFERROR(INDEX(GroupLookup,MATCH(C76,CategoryList,0)),"")</f>
        <v/>
      </c>
      <c r="E76" s="110" t="n"/>
      <c r="F76" s="75" t="n"/>
      <c r="G76" s="75" t="n"/>
      <c r="I76" s="76" t="inlineStr">
        <is>
          <t>অন্যান্য খরচ</t>
        </is>
      </c>
      <c r="J76" s="112">
        <f>SUMIF($C$4:$C$203,$I76,$E$4:$E$203)</f>
        <v/>
      </c>
      <c r="K76" s="113">
        <f>IFERROR($J76/$J$12,0)</f>
        <v/>
      </c>
    </row>
    <row r="77" ht="15.75" customHeight="1" s="52">
      <c r="A77" s="114" t="n"/>
      <c r="B77" s="76" t="n"/>
      <c r="C77" s="76" t="n"/>
      <c r="D77" s="109">
        <f t="array" ref="D77:D77">IFERROR(INDEX(GroupLookup,MATCH(C77,CategoryList,0)),"")</f>
        <v/>
      </c>
      <c r="E77" s="112" t="n"/>
      <c r="F77" s="76" t="n"/>
      <c r="G77" s="76" t="n"/>
      <c r="I77" s="72" t="inlineStr">
        <is>
          <t>সর্বমোট</t>
        </is>
      </c>
      <c r="J77" s="117">
        <f>SUM($J$23:$J$76)</f>
        <v/>
      </c>
      <c r="K77" s="118">
        <f>IFERROR($J$77/$J$12,0)</f>
        <v/>
      </c>
    </row>
    <row r="78" ht="15.75" customHeight="1" s="52">
      <c r="A78" s="108" t="n"/>
      <c r="B78" s="75" t="n"/>
      <c r="C78" s="75" t="n"/>
      <c r="D78" s="109">
        <f t="array" ref="D78:D78">IFERROR(INDEX(GroupLookup,MATCH(C78,CategoryList,0)),"")</f>
        <v/>
      </c>
      <c r="E78" s="110" t="n"/>
      <c r="F78" s="75" t="n"/>
      <c r="G78" s="75" t="n"/>
    </row>
    <row r="79" ht="15.75" customHeight="1" s="52">
      <c r="A79" s="114" t="n"/>
      <c r="B79" s="76" t="n"/>
      <c r="C79" s="76" t="n"/>
      <c r="D79" s="109">
        <f t="array" ref="D79:D79">IFERROR(INDEX(GroupLookup,MATCH(C79,CategoryList,0)),"")</f>
        <v/>
      </c>
      <c r="E79" s="112" t="n"/>
      <c r="F79" s="76" t="n"/>
      <c r="G79" s="76" t="n"/>
    </row>
    <row r="80" ht="15.75" customHeight="1" s="52">
      <c r="A80" s="108" t="n"/>
      <c r="B80" s="75" t="n"/>
      <c r="C80" s="75" t="n"/>
      <c r="D80" s="109">
        <f t="array" ref="D80:D80">IFERROR(INDEX(GroupLookup,MATCH(C80,CategoryList,0)),"")</f>
        <v/>
      </c>
      <c r="E80" s="110" t="n"/>
      <c r="F80" s="75" t="n"/>
      <c r="G80" s="75" t="n"/>
    </row>
    <row r="81" ht="15.75" customHeight="1" s="52">
      <c r="A81" s="114" t="n"/>
      <c r="B81" s="76" t="n"/>
      <c r="C81" s="76" t="n"/>
      <c r="D81" s="109">
        <f t="array" ref="D81:D81">IFERROR(INDEX(GroupLookup,MATCH(C81,CategoryList,0)),"")</f>
        <v/>
      </c>
      <c r="E81" s="112" t="n"/>
      <c r="F81" s="76" t="n"/>
      <c r="G81" s="76" t="n"/>
    </row>
    <row r="82" ht="15.75" customHeight="1" s="52">
      <c r="A82" s="108" t="n"/>
      <c r="B82" s="75" t="n"/>
      <c r="C82" s="75" t="n"/>
      <c r="D82" s="109">
        <f t="array" ref="D82:D82">IFERROR(INDEX(GroupLookup,MATCH(C82,CategoryList,0)),"")</f>
        <v/>
      </c>
      <c r="E82" s="110" t="n"/>
      <c r="F82" s="75" t="n"/>
      <c r="G82" s="75" t="n"/>
    </row>
    <row r="83" ht="15.75" customHeight="1" s="52">
      <c r="A83" s="114" t="n"/>
      <c r="B83" s="76" t="n"/>
      <c r="C83" s="76" t="n"/>
      <c r="D83" s="109">
        <f t="array" ref="D83:D83">IFERROR(INDEX(GroupLookup,MATCH(C83,CategoryList,0)),"")</f>
        <v/>
      </c>
      <c r="E83" s="112" t="n"/>
      <c r="F83" s="76" t="n"/>
      <c r="G83" s="76" t="n"/>
    </row>
    <row r="84" ht="15.75" customHeight="1" s="52">
      <c r="A84" s="108" t="n"/>
      <c r="B84" s="75" t="n"/>
      <c r="C84" s="75" t="n"/>
      <c r="D84" s="109">
        <f t="array" ref="D84:D84">IFERROR(INDEX(GroupLookup,MATCH(C84,CategoryList,0)),"")</f>
        <v/>
      </c>
      <c r="E84" s="110" t="n"/>
      <c r="F84" s="75" t="n"/>
      <c r="G84" s="75" t="n"/>
    </row>
    <row r="85" ht="15.75" customHeight="1" s="52">
      <c r="A85" s="114" t="n"/>
      <c r="B85" s="76" t="n"/>
      <c r="C85" s="76" t="n"/>
      <c r="D85" s="109">
        <f t="array" ref="D85:D85">IFERROR(INDEX(GroupLookup,MATCH(C85,CategoryList,0)),"")</f>
        <v/>
      </c>
      <c r="E85" s="112" t="n"/>
      <c r="F85" s="76" t="n"/>
      <c r="G85" s="76" t="n"/>
    </row>
    <row r="86" ht="15.75" customHeight="1" s="52">
      <c r="A86" s="108" t="n"/>
      <c r="B86" s="75" t="n"/>
      <c r="C86" s="75" t="n"/>
      <c r="D86" s="109">
        <f t="array" ref="D86:D86">IFERROR(INDEX(GroupLookup,MATCH(C86,CategoryList,0)),"")</f>
        <v/>
      </c>
      <c r="E86" s="110" t="n"/>
      <c r="F86" s="75" t="n"/>
      <c r="G86" s="75" t="n"/>
    </row>
    <row r="87" ht="15.75" customHeight="1" s="52">
      <c r="A87" s="114" t="n"/>
      <c r="B87" s="76" t="n"/>
      <c r="C87" s="76" t="n"/>
      <c r="D87" s="109">
        <f t="array" ref="D87:D87">IFERROR(INDEX(GroupLookup,MATCH(C87,CategoryList,0)),"")</f>
        <v/>
      </c>
      <c r="E87" s="112" t="n"/>
      <c r="F87" s="76" t="n"/>
      <c r="G87" s="76" t="n"/>
    </row>
    <row r="88" ht="15.75" customHeight="1" s="52">
      <c r="A88" s="108" t="n"/>
      <c r="B88" s="75" t="n"/>
      <c r="C88" s="75" t="n"/>
      <c r="D88" s="109">
        <f t="array" ref="D88:D88">IFERROR(INDEX(GroupLookup,MATCH(C88,CategoryList,0)),"")</f>
        <v/>
      </c>
      <c r="E88" s="110" t="n"/>
      <c r="F88" s="75" t="n"/>
      <c r="G88" s="75" t="n"/>
    </row>
    <row r="89" ht="15.75" customHeight="1" s="52">
      <c r="A89" s="114" t="n"/>
      <c r="B89" s="76" t="n"/>
      <c r="C89" s="76" t="n"/>
      <c r="D89" s="109">
        <f t="array" ref="D89:D89">IFERROR(INDEX(GroupLookup,MATCH(C89,CategoryList,0)),"")</f>
        <v/>
      </c>
      <c r="E89" s="112" t="n"/>
      <c r="F89" s="76" t="n"/>
      <c r="G89" s="76" t="n"/>
    </row>
    <row r="90" ht="15.75" customHeight="1" s="52">
      <c r="A90" s="108" t="n"/>
      <c r="B90" s="75" t="n"/>
      <c r="C90" s="75" t="n"/>
      <c r="D90" s="109">
        <f t="array" ref="D90:D90">IFERROR(INDEX(GroupLookup,MATCH(C90,CategoryList,0)),"")</f>
        <v/>
      </c>
      <c r="E90" s="110" t="n"/>
      <c r="F90" s="75" t="n"/>
      <c r="G90" s="75" t="n"/>
    </row>
    <row r="91" ht="15.75" customHeight="1" s="52">
      <c r="A91" s="114" t="n"/>
      <c r="B91" s="76" t="n"/>
      <c r="C91" s="76" t="n"/>
      <c r="D91" s="109">
        <f t="array" ref="D91:D91">IFERROR(INDEX(GroupLookup,MATCH(C91,CategoryList,0)),"")</f>
        <v/>
      </c>
      <c r="E91" s="112" t="n"/>
      <c r="F91" s="76" t="n"/>
      <c r="G91" s="76" t="n"/>
    </row>
    <row r="92" ht="15.75" customHeight="1" s="52">
      <c r="A92" s="108" t="n"/>
      <c r="B92" s="75" t="n"/>
      <c r="C92" s="75" t="n"/>
      <c r="D92" s="109">
        <f t="array" ref="D92:D92">IFERROR(INDEX(GroupLookup,MATCH(C92,CategoryList,0)),"")</f>
        <v/>
      </c>
      <c r="E92" s="110" t="n"/>
      <c r="F92" s="75" t="n"/>
      <c r="G92" s="75" t="n"/>
    </row>
    <row r="93" ht="15.75" customHeight="1" s="52">
      <c r="A93" s="114" t="n"/>
      <c r="B93" s="76" t="n"/>
      <c r="C93" s="76" t="n"/>
      <c r="D93" s="109">
        <f t="array" ref="D93:D93">IFERROR(INDEX(GroupLookup,MATCH(C93,CategoryList,0)),"")</f>
        <v/>
      </c>
      <c r="E93" s="112" t="n"/>
      <c r="F93" s="76" t="n"/>
      <c r="G93" s="76" t="n"/>
    </row>
    <row r="94" ht="15.75" customHeight="1" s="52">
      <c r="A94" s="108" t="n"/>
      <c r="B94" s="75" t="n"/>
      <c r="C94" s="75" t="n"/>
      <c r="D94" s="109">
        <f t="array" ref="D94:D94">IFERROR(INDEX(GroupLookup,MATCH(C94,CategoryList,0)),"")</f>
        <v/>
      </c>
      <c r="E94" s="110" t="n"/>
      <c r="F94" s="75" t="n"/>
      <c r="G94" s="75" t="n"/>
    </row>
    <row r="95" ht="15.75" customHeight="1" s="52">
      <c r="A95" s="114" t="n"/>
      <c r="B95" s="76" t="n"/>
      <c r="C95" s="76" t="n"/>
      <c r="D95" s="109">
        <f t="array" ref="D95:D95">IFERROR(INDEX(GroupLookup,MATCH(C95,CategoryList,0)),"")</f>
        <v/>
      </c>
      <c r="E95" s="112" t="n"/>
      <c r="F95" s="76" t="n"/>
      <c r="G95" s="76" t="n"/>
    </row>
    <row r="96" ht="15.75" customHeight="1" s="52">
      <c r="A96" s="108" t="n"/>
      <c r="B96" s="75" t="n"/>
      <c r="C96" s="75" t="n"/>
      <c r="D96" s="109">
        <f t="array" ref="D96:D96">IFERROR(INDEX(GroupLookup,MATCH(C96,CategoryList,0)),"")</f>
        <v/>
      </c>
      <c r="E96" s="110" t="n"/>
      <c r="F96" s="75" t="n"/>
      <c r="G96" s="75" t="n"/>
    </row>
    <row r="97" ht="15.75" customHeight="1" s="52">
      <c r="A97" s="114" t="n"/>
      <c r="B97" s="76" t="n"/>
      <c r="C97" s="76" t="n"/>
      <c r="D97" s="109">
        <f t="array" ref="D97:D97">IFERROR(INDEX(GroupLookup,MATCH(C97,CategoryList,0)),"")</f>
        <v/>
      </c>
      <c r="E97" s="112" t="n"/>
      <c r="F97" s="76" t="n"/>
      <c r="G97" s="76" t="n"/>
    </row>
    <row r="98" ht="15.75" customHeight="1" s="52">
      <c r="A98" s="108" t="n"/>
      <c r="B98" s="75" t="n"/>
      <c r="C98" s="75" t="n"/>
      <c r="D98" s="109">
        <f t="array" ref="D98:D98">IFERROR(INDEX(GroupLookup,MATCH(C98,CategoryList,0)),"")</f>
        <v/>
      </c>
      <c r="E98" s="110" t="n"/>
      <c r="F98" s="75" t="n"/>
      <c r="G98" s="75" t="n"/>
    </row>
    <row r="99" ht="15.75" customHeight="1" s="52">
      <c r="A99" s="114" t="n"/>
      <c r="B99" s="76" t="n"/>
      <c r="C99" s="76" t="n"/>
      <c r="D99" s="109">
        <f t="array" ref="D99:D99">IFERROR(INDEX(GroupLookup,MATCH(C99,CategoryList,0)),"")</f>
        <v/>
      </c>
      <c r="E99" s="112" t="n"/>
      <c r="F99" s="76" t="n"/>
      <c r="G99" s="76" t="n"/>
    </row>
    <row r="100" ht="15.75" customHeight="1" s="52">
      <c r="A100" s="108" t="n"/>
      <c r="B100" s="75" t="n"/>
      <c r="C100" s="75" t="n"/>
      <c r="D100" s="109">
        <f t="array" ref="D100:D100">IFERROR(INDEX(GroupLookup,MATCH(C100,CategoryList,0)),"")</f>
        <v/>
      </c>
      <c r="E100" s="110" t="n"/>
      <c r="F100" s="75" t="n"/>
      <c r="G100" s="75" t="n"/>
    </row>
    <row r="101" ht="15.75" customHeight="1" s="52">
      <c r="A101" s="114" t="n"/>
      <c r="B101" s="76" t="n"/>
      <c r="C101" s="76" t="n"/>
      <c r="D101" s="109">
        <f t="array" ref="D101:D101">IFERROR(INDEX(GroupLookup,MATCH(C101,CategoryList,0)),"")</f>
        <v/>
      </c>
      <c r="E101" s="112" t="n"/>
      <c r="F101" s="76" t="n"/>
      <c r="G101" s="76" t="n"/>
    </row>
    <row r="102" ht="15.75" customHeight="1" s="52">
      <c r="A102" s="108" t="n"/>
      <c r="B102" s="75" t="n"/>
      <c r="C102" s="75" t="n"/>
      <c r="D102" s="109">
        <f t="array" ref="D102:D102">IFERROR(INDEX(GroupLookup,MATCH(C102,CategoryList,0)),"")</f>
        <v/>
      </c>
      <c r="E102" s="110" t="n"/>
      <c r="F102" s="75" t="n"/>
      <c r="G102" s="75" t="n"/>
    </row>
    <row r="103" ht="15.75" customHeight="1" s="52">
      <c r="A103" s="114" t="n"/>
      <c r="B103" s="76" t="n"/>
      <c r="C103" s="76" t="n"/>
      <c r="D103" s="109">
        <f t="array" ref="D103:D103">IFERROR(INDEX(GroupLookup,MATCH(C103,CategoryList,0)),"")</f>
        <v/>
      </c>
      <c r="E103" s="112" t="n"/>
      <c r="F103" s="76" t="n"/>
      <c r="G103" s="76" t="n"/>
    </row>
    <row r="104" ht="15.75" customHeight="1" s="52">
      <c r="A104" s="108" t="n"/>
      <c r="B104" s="75" t="n"/>
      <c r="C104" s="75" t="n"/>
      <c r="D104" s="109">
        <f t="array" ref="D104:D104">IFERROR(INDEX(GroupLookup,MATCH(C104,CategoryList,0)),"")</f>
        <v/>
      </c>
      <c r="E104" s="110" t="n"/>
      <c r="F104" s="75" t="n"/>
      <c r="G104" s="75" t="n"/>
    </row>
    <row r="105" ht="15.75" customHeight="1" s="52">
      <c r="A105" s="114" t="n"/>
      <c r="B105" s="76" t="n"/>
      <c r="C105" s="76" t="n"/>
      <c r="D105" s="109">
        <f t="array" ref="D105:D105">IFERROR(INDEX(GroupLookup,MATCH(C105,CategoryList,0)),"")</f>
        <v/>
      </c>
      <c r="E105" s="112" t="n"/>
      <c r="F105" s="76" t="n"/>
      <c r="G105" s="76" t="n"/>
    </row>
    <row r="106" ht="15.75" customHeight="1" s="52">
      <c r="A106" s="108" t="n"/>
      <c r="B106" s="75" t="n"/>
      <c r="C106" s="75" t="n"/>
      <c r="D106" s="109">
        <f t="array" ref="D106:D106">IFERROR(INDEX(GroupLookup,MATCH(C106,CategoryList,0)),"")</f>
        <v/>
      </c>
      <c r="E106" s="110" t="n"/>
      <c r="F106" s="75" t="n"/>
      <c r="G106" s="75" t="n"/>
    </row>
    <row r="107" ht="15.75" customHeight="1" s="52">
      <c r="A107" s="114" t="n"/>
      <c r="B107" s="76" t="n"/>
      <c r="C107" s="76" t="n"/>
      <c r="D107" s="109">
        <f t="array" ref="D107:D107">IFERROR(INDEX(GroupLookup,MATCH(C107,CategoryList,0)),"")</f>
        <v/>
      </c>
      <c r="E107" s="112" t="n"/>
      <c r="F107" s="76" t="n"/>
      <c r="G107" s="76" t="n"/>
    </row>
    <row r="108" ht="15.75" customHeight="1" s="52">
      <c r="A108" s="108" t="n"/>
      <c r="B108" s="75" t="n"/>
      <c r="C108" s="75" t="n"/>
      <c r="D108" s="109">
        <f t="array" ref="D108:D108">IFERROR(INDEX(GroupLookup,MATCH(C108,CategoryList,0)),"")</f>
        <v/>
      </c>
      <c r="E108" s="110" t="n"/>
      <c r="F108" s="75" t="n"/>
      <c r="G108" s="75" t="n"/>
    </row>
    <row r="109" ht="15.75" customHeight="1" s="52">
      <c r="A109" s="114" t="n"/>
      <c r="B109" s="76" t="n"/>
      <c r="C109" s="76" t="n"/>
      <c r="D109" s="109">
        <f t="array" ref="D109:D109">IFERROR(INDEX(GroupLookup,MATCH(C109,CategoryList,0)),"")</f>
        <v/>
      </c>
      <c r="E109" s="112" t="n"/>
      <c r="F109" s="76" t="n"/>
      <c r="G109" s="76" t="n"/>
    </row>
    <row r="110" ht="15.75" customHeight="1" s="52">
      <c r="A110" s="108" t="n"/>
      <c r="B110" s="75" t="n"/>
      <c r="C110" s="75" t="n"/>
      <c r="D110" s="109">
        <f t="array" ref="D110:D110">IFERROR(INDEX(GroupLookup,MATCH(C110,CategoryList,0)),"")</f>
        <v/>
      </c>
      <c r="E110" s="110" t="n"/>
      <c r="F110" s="75" t="n"/>
      <c r="G110" s="75" t="n"/>
    </row>
    <row r="111" ht="15.75" customHeight="1" s="52">
      <c r="A111" s="114" t="n"/>
      <c r="B111" s="76" t="n"/>
      <c r="C111" s="76" t="n"/>
      <c r="D111" s="109">
        <f t="array" ref="D111:D111">IFERROR(INDEX(GroupLookup,MATCH(C111,CategoryList,0)),"")</f>
        <v/>
      </c>
      <c r="E111" s="112" t="n"/>
      <c r="F111" s="76" t="n"/>
      <c r="G111" s="76" t="n"/>
    </row>
    <row r="112" ht="15.75" customHeight="1" s="52">
      <c r="A112" s="108" t="n"/>
      <c r="B112" s="75" t="n"/>
      <c r="C112" s="75" t="n"/>
      <c r="D112" s="109">
        <f t="array" ref="D112:D112">IFERROR(INDEX(GroupLookup,MATCH(C112,CategoryList,0)),"")</f>
        <v/>
      </c>
      <c r="E112" s="110" t="n"/>
      <c r="F112" s="75" t="n"/>
      <c r="G112" s="75" t="n"/>
    </row>
    <row r="113" ht="15.75" customHeight="1" s="52">
      <c r="A113" s="114" t="n"/>
      <c r="B113" s="76" t="n"/>
      <c r="C113" s="76" t="n"/>
      <c r="D113" s="109">
        <f t="array" ref="D113:D113">IFERROR(INDEX(GroupLookup,MATCH(C113,CategoryList,0)),"")</f>
        <v/>
      </c>
      <c r="E113" s="112" t="n"/>
      <c r="F113" s="76" t="n"/>
      <c r="G113" s="76" t="n"/>
    </row>
    <row r="114" ht="15.75" customHeight="1" s="52">
      <c r="A114" s="108" t="n"/>
      <c r="B114" s="75" t="n"/>
      <c r="C114" s="75" t="n"/>
      <c r="D114" s="109">
        <f t="array" ref="D114:D114">IFERROR(INDEX(GroupLookup,MATCH(C114,CategoryList,0)),"")</f>
        <v/>
      </c>
      <c r="E114" s="110" t="n"/>
      <c r="F114" s="75" t="n"/>
      <c r="G114" s="75" t="n"/>
    </row>
    <row r="115" ht="15.75" customHeight="1" s="52">
      <c r="A115" s="114" t="n"/>
      <c r="B115" s="76" t="n"/>
      <c r="C115" s="76" t="n"/>
      <c r="D115" s="109">
        <f t="array" ref="D115:D115">IFERROR(INDEX(GroupLookup,MATCH(C115,CategoryList,0)),"")</f>
        <v/>
      </c>
      <c r="E115" s="112" t="n"/>
      <c r="F115" s="76" t="n"/>
      <c r="G115" s="76" t="n"/>
    </row>
    <row r="116" ht="15.75" customHeight="1" s="52">
      <c r="A116" s="108" t="n"/>
      <c r="B116" s="75" t="n"/>
      <c r="C116" s="75" t="n"/>
      <c r="D116" s="109">
        <f t="array" ref="D116:D116">IFERROR(INDEX(GroupLookup,MATCH(C116,CategoryList,0)),"")</f>
        <v/>
      </c>
      <c r="E116" s="110" t="n"/>
      <c r="F116" s="75" t="n"/>
      <c r="G116" s="75" t="n"/>
    </row>
    <row r="117" ht="15.75" customHeight="1" s="52">
      <c r="A117" s="114" t="n"/>
      <c r="B117" s="76" t="n"/>
      <c r="C117" s="76" t="n"/>
      <c r="D117" s="109">
        <f t="array" ref="D117:D117">IFERROR(INDEX(GroupLookup,MATCH(C117,CategoryList,0)),"")</f>
        <v/>
      </c>
      <c r="E117" s="112" t="n"/>
      <c r="F117" s="76" t="n"/>
      <c r="G117" s="76" t="n"/>
    </row>
    <row r="118" ht="15.75" customHeight="1" s="52">
      <c r="A118" s="108" t="n"/>
      <c r="B118" s="75" t="n"/>
      <c r="C118" s="75" t="n"/>
      <c r="D118" s="109">
        <f t="array" ref="D118:D118">IFERROR(INDEX(GroupLookup,MATCH(C118,CategoryList,0)),"")</f>
        <v/>
      </c>
      <c r="E118" s="110" t="n"/>
      <c r="F118" s="75" t="n"/>
      <c r="G118" s="75" t="n"/>
    </row>
    <row r="119" ht="15.75" customHeight="1" s="52">
      <c r="A119" s="114" t="n"/>
      <c r="B119" s="76" t="n"/>
      <c r="C119" s="76" t="n"/>
      <c r="D119" s="109">
        <f t="array" ref="D119:D119">IFERROR(INDEX(GroupLookup,MATCH(C119,CategoryList,0)),"")</f>
        <v/>
      </c>
      <c r="E119" s="112" t="n"/>
      <c r="F119" s="76" t="n"/>
      <c r="G119" s="76" t="n"/>
    </row>
    <row r="120" ht="15.75" customHeight="1" s="52">
      <c r="A120" s="108" t="n"/>
      <c r="B120" s="75" t="n"/>
      <c r="C120" s="75" t="n"/>
      <c r="D120" s="109">
        <f t="array" ref="D120:D120">IFERROR(INDEX(GroupLookup,MATCH(C120,CategoryList,0)),"")</f>
        <v/>
      </c>
      <c r="E120" s="110" t="n"/>
      <c r="F120" s="75" t="n"/>
      <c r="G120" s="75" t="n"/>
    </row>
    <row r="121" ht="15.75" customHeight="1" s="52">
      <c r="A121" s="114" t="n"/>
      <c r="B121" s="76" t="n"/>
      <c r="C121" s="76" t="n"/>
      <c r="D121" s="109">
        <f t="array" ref="D121:D121">IFERROR(INDEX(GroupLookup,MATCH(C121,CategoryList,0)),"")</f>
        <v/>
      </c>
      <c r="E121" s="112" t="n"/>
      <c r="F121" s="76" t="n"/>
      <c r="G121" s="76" t="n"/>
    </row>
    <row r="122" ht="15.75" customHeight="1" s="52">
      <c r="A122" s="108" t="n"/>
      <c r="B122" s="75" t="n"/>
      <c r="C122" s="75" t="n"/>
      <c r="D122" s="109">
        <f t="array" ref="D122:D122">IFERROR(INDEX(GroupLookup,MATCH(C122,CategoryList,0)),"")</f>
        <v/>
      </c>
      <c r="E122" s="110" t="n"/>
      <c r="F122" s="75" t="n"/>
      <c r="G122" s="75" t="n"/>
    </row>
    <row r="123" ht="15.75" customHeight="1" s="52">
      <c r="A123" s="114" t="n"/>
      <c r="B123" s="76" t="n"/>
      <c r="C123" s="76" t="n"/>
      <c r="D123" s="109">
        <f t="array" ref="D123:D123">IFERROR(INDEX(GroupLookup,MATCH(C123,CategoryList,0)),"")</f>
        <v/>
      </c>
      <c r="E123" s="112" t="n"/>
      <c r="F123" s="76" t="n"/>
      <c r="G123" s="76" t="n"/>
    </row>
    <row r="124" ht="15.75" customHeight="1" s="52">
      <c r="A124" s="108" t="n"/>
      <c r="B124" s="75" t="n"/>
      <c r="C124" s="75" t="n"/>
      <c r="D124" s="109">
        <f t="array" ref="D124:D124">IFERROR(INDEX(GroupLookup,MATCH(C124,CategoryList,0)),"")</f>
        <v/>
      </c>
      <c r="E124" s="110" t="n"/>
      <c r="F124" s="75" t="n"/>
      <c r="G124" s="75" t="n"/>
    </row>
    <row r="125" ht="15.75" customHeight="1" s="52">
      <c r="A125" s="114" t="n"/>
      <c r="B125" s="76" t="n"/>
      <c r="C125" s="76" t="n"/>
      <c r="D125" s="109">
        <f t="array" ref="D125:D125">IFERROR(INDEX(GroupLookup,MATCH(C125,CategoryList,0)),"")</f>
        <v/>
      </c>
      <c r="E125" s="112" t="n"/>
      <c r="F125" s="76" t="n"/>
      <c r="G125" s="76" t="n"/>
    </row>
    <row r="126" ht="15.75" customHeight="1" s="52">
      <c r="A126" s="108" t="n"/>
      <c r="B126" s="75" t="n"/>
      <c r="C126" s="75" t="n"/>
      <c r="D126" s="109">
        <f t="array" ref="D126:D126">IFERROR(INDEX(GroupLookup,MATCH(C126,CategoryList,0)),"")</f>
        <v/>
      </c>
      <c r="E126" s="110" t="n"/>
      <c r="F126" s="75" t="n"/>
      <c r="G126" s="75" t="n"/>
    </row>
    <row r="127" ht="15.75" customHeight="1" s="52">
      <c r="A127" s="114" t="n"/>
      <c r="B127" s="76" t="n"/>
      <c r="C127" s="76" t="n"/>
      <c r="D127" s="109">
        <f t="array" ref="D127:D127">IFERROR(INDEX(GroupLookup,MATCH(C127,CategoryList,0)),"")</f>
        <v/>
      </c>
      <c r="E127" s="112" t="n"/>
      <c r="F127" s="76" t="n"/>
      <c r="G127" s="76" t="n"/>
    </row>
    <row r="128" ht="15.75" customHeight="1" s="52">
      <c r="A128" s="108" t="n"/>
      <c r="B128" s="75" t="n"/>
      <c r="C128" s="75" t="n"/>
      <c r="D128" s="109">
        <f t="array" ref="D128:D128">IFERROR(INDEX(GroupLookup,MATCH(C128,CategoryList,0)),"")</f>
        <v/>
      </c>
      <c r="E128" s="110" t="n"/>
      <c r="F128" s="75" t="n"/>
      <c r="G128" s="75" t="n"/>
    </row>
    <row r="129" ht="15.75" customHeight="1" s="52">
      <c r="A129" s="114" t="n"/>
      <c r="B129" s="76" t="n"/>
      <c r="C129" s="76" t="n"/>
      <c r="D129" s="109">
        <f t="array" ref="D129:D129">IFERROR(INDEX(GroupLookup,MATCH(C129,CategoryList,0)),"")</f>
        <v/>
      </c>
      <c r="E129" s="112" t="n"/>
      <c r="F129" s="76" t="n"/>
      <c r="G129" s="76" t="n"/>
    </row>
    <row r="130" ht="15.75" customHeight="1" s="52">
      <c r="A130" s="108" t="n"/>
      <c r="B130" s="75" t="n"/>
      <c r="C130" s="75" t="n"/>
      <c r="D130" s="109">
        <f t="array" ref="D130:D130">IFERROR(INDEX(GroupLookup,MATCH(C130,CategoryList,0)),"")</f>
        <v/>
      </c>
      <c r="E130" s="110" t="n"/>
      <c r="F130" s="75" t="n"/>
      <c r="G130" s="75" t="n"/>
    </row>
    <row r="131" ht="15.75" customHeight="1" s="52">
      <c r="A131" s="114" t="n"/>
      <c r="B131" s="76" t="n"/>
      <c r="C131" s="76" t="n"/>
      <c r="D131" s="109">
        <f t="array" ref="D131:D131">IFERROR(INDEX(GroupLookup,MATCH(C131,CategoryList,0)),"")</f>
        <v/>
      </c>
      <c r="E131" s="112" t="n"/>
      <c r="F131" s="76" t="n"/>
      <c r="G131" s="76" t="n"/>
    </row>
    <row r="132" ht="15.75" customHeight="1" s="52">
      <c r="A132" s="108" t="n"/>
      <c r="B132" s="75" t="n"/>
      <c r="C132" s="75" t="n"/>
      <c r="D132" s="109">
        <f t="array" ref="D132:D132">IFERROR(INDEX(GroupLookup,MATCH(C132,CategoryList,0)),"")</f>
        <v/>
      </c>
      <c r="E132" s="110" t="n"/>
      <c r="F132" s="75" t="n"/>
      <c r="G132" s="75" t="n"/>
    </row>
    <row r="133" ht="15.75" customHeight="1" s="52">
      <c r="A133" s="114" t="n"/>
      <c r="B133" s="76" t="n"/>
      <c r="C133" s="76" t="n"/>
      <c r="D133" s="109">
        <f t="array" ref="D133:D133">IFERROR(INDEX(GroupLookup,MATCH(C133,CategoryList,0)),"")</f>
        <v/>
      </c>
      <c r="E133" s="112" t="n"/>
      <c r="F133" s="76" t="n"/>
      <c r="G133" s="76" t="n"/>
    </row>
    <row r="134" ht="15.75" customHeight="1" s="52">
      <c r="A134" s="108" t="n"/>
      <c r="B134" s="75" t="n"/>
      <c r="C134" s="75" t="n"/>
      <c r="D134" s="109">
        <f t="array" ref="D134:D134">IFERROR(INDEX(GroupLookup,MATCH(C134,CategoryList,0)),"")</f>
        <v/>
      </c>
      <c r="E134" s="110" t="n"/>
      <c r="F134" s="75" t="n"/>
      <c r="G134" s="75" t="n"/>
    </row>
    <row r="135" ht="15.75" customHeight="1" s="52">
      <c r="A135" s="114" t="n"/>
      <c r="B135" s="76" t="n"/>
      <c r="C135" s="76" t="n"/>
      <c r="D135" s="109">
        <f t="array" ref="D135:D135">IFERROR(INDEX(GroupLookup,MATCH(C135,CategoryList,0)),"")</f>
        <v/>
      </c>
      <c r="E135" s="112" t="n"/>
      <c r="F135" s="76" t="n"/>
      <c r="G135" s="76" t="n"/>
    </row>
    <row r="136" ht="15.75" customHeight="1" s="52">
      <c r="A136" s="108" t="n"/>
      <c r="B136" s="75" t="n"/>
      <c r="C136" s="75" t="n"/>
      <c r="D136" s="109">
        <f t="array" ref="D136:D136">IFERROR(INDEX(GroupLookup,MATCH(C136,CategoryList,0)),"")</f>
        <v/>
      </c>
      <c r="E136" s="110" t="n"/>
      <c r="F136" s="75" t="n"/>
      <c r="G136" s="75" t="n"/>
    </row>
    <row r="137" ht="15.75" customHeight="1" s="52">
      <c r="A137" s="114" t="n"/>
      <c r="B137" s="76" t="n"/>
      <c r="C137" s="76" t="n"/>
      <c r="D137" s="109">
        <f t="array" ref="D137:D137">IFERROR(INDEX(GroupLookup,MATCH(C137,CategoryList,0)),"")</f>
        <v/>
      </c>
      <c r="E137" s="112" t="n"/>
      <c r="F137" s="76" t="n"/>
      <c r="G137" s="76" t="n"/>
    </row>
    <row r="138" ht="15.75" customHeight="1" s="52">
      <c r="A138" s="108" t="n"/>
      <c r="B138" s="75" t="n"/>
      <c r="C138" s="75" t="n"/>
      <c r="D138" s="109">
        <f t="array" ref="D138:D138">IFERROR(INDEX(GroupLookup,MATCH(C138,CategoryList,0)),"")</f>
        <v/>
      </c>
      <c r="E138" s="110" t="n"/>
      <c r="F138" s="75" t="n"/>
      <c r="G138" s="75" t="n"/>
    </row>
    <row r="139" ht="15.75" customHeight="1" s="52">
      <c r="A139" s="114" t="n"/>
      <c r="B139" s="76" t="n"/>
      <c r="C139" s="76" t="n"/>
      <c r="D139" s="109">
        <f t="array" ref="D139:D139">IFERROR(INDEX(GroupLookup,MATCH(C139,CategoryList,0)),"")</f>
        <v/>
      </c>
      <c r="E139" s="112" t="n"/>
      <c r="F139" s="76" t="n"/>
      <c r="G139" s="76" t="n"/>
    </row>
    <row r="140" ht="15.75" customHeight="1" s="52">
      <c r="A140" s="108" t="n"/>
      <c r="B140" s="75" t="n"/>
      <c r="C140" s="75" t="n"/>
      <c r="D140" s="109">
        <f t="array" ref="D140:D140">IFERROR(INDEX(GroupLookup,MATCH(C140,CategoryList,0)),"")</f>
        <v/>
      </c>
      <c r="E140" s="110" t="n"/>
      <c r="F140" s="75" t="n"/>
      <c r="G140" s="75" t="n"/>
    </row>
    <row r="141" ht="15.75" customHeight="1" s="52">
      <c r="A141" s="114" t="n"/>
      <c r="B141" s="76" t="n"/>
      <c r="C141" s="76" t="n"/>
      <c r="D141" s="109">
        <f t="array" ref="D141:D141">IFERROR(INDEX(GroupLookup,MATCH(C141,CategoryList,0)),"")</f>
        <v/>
      </c>
      <c r="E141" s="112" t="n"/>
      <c r="F141" s="76" t="n"/>
      <c r="G141" s="76" t="n"/>
    </row>
    <row r="142" ht="15.75" customHeight="1" s="52">
      <c r="A142" s="108" t="n"/>
      <c r="B142" s="75" t="n"/>
      <c r="C142" s="75" t="n"/>
      <c r="D142" s="109">
        <f t="array" ref="D142:D142">IFERROR(INDEX(GroupLookup,MATCH(C142,CategoryList,0)),"")</f>
        <v/>
      </c>
      <c r="E142" s="110" t="n"/>
      <c r="F142" s="75" t="n"/>
      <c r="G142" s="75" t="n"/>
    </row>
    <row r="143" ht="15.75" customHeight="1" s="52">
      <c r="A143" s="114" t="n"/>
      <c r="B143" s="76" t="n"/>
      <c r="C143" s="76" t="n"/>
      <c r="D143" s="109">
        <f t="array" ref="D143:D143">IFERROR(INDEX(GroupLookup,MATCH(C143,CategoryList,0)),"")</f>
        <v/>
      </c>
      <c r="E143" s="112" t="n"/>
      <c r="F143" s="76" t="n"/>
      <c r="G143" s="76" t="n"/>
    </row>
    <row r="144" ht="15.75" customHeight="1" s="52">
      <c r="A144" s="108" t="n"/>
      <c r="B144" s="75" t="n"/>
      <c r="C144" s="75" t="n"/>
      <c r="D144" s="109">
        <f t="array" ref="D144:D144">IFERROR(INDEX(GroupLookup,MATCH(C144,CategoryList,0)),"")</f>
        <v/>
      </c>
      <c r="E144" s="110" t="n"/>
      <c r="F144" s="75" t="n"/>
      <c r="G144" s="75" t="n"/>
    </row>
    <row r="145" ht="15.75" customHeight="1" s="52">
      <c r="A145" s="114" t="n"/>
      <c r="B145" s="76" t="n"/>
      <c r="C145" s="76" t="n"/>
      <c r="D145" s="109">
        <f t="array" ref="D145:D145">IFERROR(INDEX(GroupLookup,MATCH(C145,CategoryList,0)),"")</f>
        <v/>
      </c>
      <c r="E145" s="112" t="n"/>
      <c r="F145" s="76" t="n"/>
      <c r="G145" s="76" t="n"/>
    </row>
    <row r="146" ht="15.75" customHeight="1" s="52">
      <c r="A146" s="108" t="n"/>
      <c r="B146" s="75" t="n"/>
      <c r="C146" s="75" t="n"/>
      <c r="D146" s="109">
        <f t="array" ref="D146:D146">IFERROR(INDEX(GroupLookup,MATCH(C146,CategoryList,0)),"")</f>
        <v/>
      </c>
      <c r="E146" s="110" t="n"/>
      <c r="F146" s="75" t="n"/>
      <c r="G146" s="75" t="n"/>
    </row>
    <row r="147" ht="15.75" customHeight="1" s="52">
      <c r="A147" s="114" t="n"/>
      <c r="B147" s="76" t="n"/>
      <c r="C147" s="76" t="n"/>
      <c r="D147" s="109">
        <f t="array" ref="D147:D147">IFERROR(INDEX(GroupLookup,MATCH(C147,CategoryList,0)),"")</f>
        <v/>
      </c>
      <c r="E147" s="112" t="n"/>
      <c r="F147" s="76" t="n"/>
      <c r="G147" s="76" t="n"/>
    </row>
    <row r="148" ht="15.75" customHeight="1" s="52">
      <c r="A148" s="108" t="n"/>
      <c r="B148" s="75" t="n"/>
      <c r="C148" s="75" t="n"/>
      <c r="D148" s="109">
        <f t="array" ref="D148:D148">IFERROR(INDEX(GroupLookup,MATCH(C148,CategoryList,0)),"")</f>
        <v/>
      </c>
      <c r="E148" s="110" t="n"/>
      <c r="F148" s="75" t="n"/>
      <c r="G148" s="75" t="n"/>
    </row>
    <row r="149" ht="15.75" customHeight="1" s="52">
      <c r="A149" s="114" t="n"/>
      <c r="B149" s="76" t="n"/>
      <c r="C149" s="76" t="n"/>
      <c r="D149" s="109">
        <f t="array" ref="D149:D149">IFERROR(INDEX(GroupLookup,MATCH(C149,CategoryList,0)),"")</f>
        <v/>
      </c>
      <c r="E149" s="112" t="n"/>
      <c r="F149" s="76" t="n"/>
      <c r="G149" s="76" t="n"/>
    </row>
    <row r="150" ht="15.75" customHeight="1" s="52">
      <c r="A150" s="108" t="n"/>
      <c r="B150" s="75" t="n"/>
      <c r="C150" s="75" t="n"/>
      <c r="D150" s="109">
        <f t="array" ref="D150:D150">IFERROR(INDEX(GroupLookup,MATCH(C150,CategoryList,0)),"")</f>
        <v/>
      </c>
      <c r="E150" s="110" t="n"/>
      <c r="F150" s="75" t="n"/>
      <c r="G150" s="75" t="n"/>
    </row>
    <row r="151" ht="15.75" customHeight="1" s="52">
      <c r="A151" s="114" t="n"/>
      <c r="B151" s="76" t="n"/>
      <c r="C151" s="76" t="n"/>
      <c r="D151" s="109">
        <f t="array" ref="D151:D151">IFERROR(INDEX(GroupLookup,MATCH(C151,CategoryList,0)),"")</f>
        <v/>
      </c>
      <c r="E151" s="112" t="n"/>
      <c r="F151" s="76" t="n"/>
      <c r="G151" s="76" t="n"/>
    </row>
    <row r="152" ht="15.75" customHeight="1" s="52">
      <c r="A152" s="108" t="n"/>
      <c r="B152" s="75" t="n"/>
      <c r="C152" s="75" t="n"/>
      <c r="D152" s="109">
        <f t="array" ref="D152:D152">IFERROR(INDEX(GroupLookup,MATCH(C152,CategoryList,0)),"")</f>
        <v/>
      </c>
      <c r="E152" s="110" t="n"/>
      <c r="F152" s="75" t="n"/>
      <c r="G152" s="75" t="n"/>
    </row>
    <row r="153" ht="15.75" customHeight="1" s="52">
      <c r="A153" s="114" t="n"/>
      <c r="B153" s="76" t="n"/>
      <c r="C153" s="76" t="n"/>
      <c r="D153" s="109">
        <f t="array" ref="D153:D153">IFERROR(INDEX(GroupLookup,MATCH(C153,CategoryList,0)),"")</f>
        <v/>
      </c>
      <c r="E153" s="112" t="n"/>
      <c r="F153" s="76" t="n"/>
      <c r="G153" s="76" t="n"/>
    </row>
    <row r="154" ht="15.75" customHeight="1" s="52">
      <c r="A154" s="108" t="n"/>
      <c r="B154" s="75" t="n"/>
      <c r="C154" s="75" t="n"/>
      <c r="D154" s="109">
        <f t="array" ref="D154:D154">IFERROR(INDEX(GroupLookup,MATCH(C154,CategoryList,0)),"")</f>
        <v/>
      </c>
      <c r="E154" s="110" t="n"/>
      <c r="F154" s="75" t="n"/>
      <c r="G154" s="75" t="n"/>
    </row>
    <row r="155" ht="15.75" customHeight="1" s="52">
      <c r="A155" s="114" t="n"/>
      <c r="B155" s="76" t="n"/>
      <c r="C155" s="76" t="n"/>
      <c r="D155" s="109">
        <f t="array" ref="D155:D155">IFERROR(INDEX(GroupLookup,MATCH(C155,CategoryList,0)),"")</f>
        <v/>
      </c>
      <c r="E155" s="112" t="n"/>
      <c r="F155" s="76" t="n"/>
      <c r="G155" s="76" t="n"/>
    </row>
    <row r="156" ht="15.75" customHeight="1" s="52">
      <c r="A156" s="108" t="n"/>
      <c r="B156" s="75" t="n"/>
      <c r="C156" s="75" t="n"/>
      <c r="D156" s="109">
        <f t="array" ref="D156:D156">IFERROR(INDEX(GroupLookup,MATCH(C156,CategoryList,0)),"")</f>
        <v/>
      </c>
      <c r="E156" s="110" t="n"/>
      <c r="F156" s="75" t="n"/>
      <c r="G156" s="75" t="n"/>
    </row>
    <row r="157" ht="15.75" customHeight="1" s="52">
      <c r="A157" s="114" t="n"/>
      <c r="B157" s="76" t="n"/>
      <c r="C157" s="76" t="n"/>
      <c r="D157" s="109">
        <f t="array" ref="D157:D157">IFERROR(INDEX(GroupLookup,MATCH(C157,CategoryList,0)),"")</f>
        <v/>
      </c>
      <c r="E157" s="112" t="n"/>
      <c r="F157" s="76" t="n"/>
      <c r="G157" s="76" t="n"/>
    </row>
    <row r="158" ht="15.75" customHeight="1" s="52">
      <c r="A158" s="108" t="n"/>
      <c r="B158" s="75" t="n"/>
      <c r="C158" s="75" t="n"/>
      <c r="D158" s="109">
        <f t="array" ref="D158:D158">IFERROR(INDEX(GroupLookup,MATCH(C158,CategoryList,0)),"")</f>
        <v/>
      </c>
      <c r="E158" s="110" t="n"/>
      <c r="F158" s="75" t="n"/>
      <c r="G158" s="75" t="n"/>
    </row>
    <row r="159" ht="15.75" customHeight="1" s="52">
      <c r="A159" s="114" t="n"/>
      <c r="B159" s="76" t="n"/>
      <c r="C159" s="76" t="n"/>
      <c r="D159" s="109">
        <f t="array" ref="D159:D159">IFERROR(INDEX(GroupLookup,MATCH(C159,CategoryList,0)),"")</f>
        <v/>
      </c>
      <c r="E159" s="112" t="n"/>
      <c r="F159" s="76" t="n"/>
      <c r="G159" s="76" t="n"/>
    </row>
    <row r="160" ht="15.75" customHeight="1" s="52">
      <c r="A160" s="108" t="n"/>
      <c r="B160" s="75" t="n"/>
      <c r="C160" s="75" t="n"/>
      <c r="D160" s="109">
        <f t="array" ref="D160:D160">IFERROR(INDEX(GroupLookup,MATCH(C160,CategoryList,0)),"")</f>
        <v/>
      </c>
      <c r="E160" s="110" t="n"/>
      <c r="F160" s="75" t="n"/>
      <c r="G160" s="75" t="n"/>
    </row>
    <row r="161" ht="15.75" customHeight="1" s="52">
      <c r="A161" s="114" t="n"/>
      <c r="B161" s="76" t="n"/>
      <c r="C161" s="76" t="n"/>
      <c r="D161" s="109">
        <f t="array" ref="D161:D161">IFERROR(INDEX(GroupLookup,MATCH(C161,CategoryList,0)),"")</f>
        <v/>
      </c>
      <c r="E161" s="112" t="n"/>
      <c r="F161" s="76" t="n"/>
      <c r="G161" s="76" t="n"/>
    </row>
    <row r="162" ht="15.75" customHeight="1" s="52">
      <c r="A162" s="108" t="n"/>
      <c r="B162" s="75" t="n"/>
      <c r="C162" s="75" t="n"/>
      <c r="D162" s="109">
        <f t="array" ref="D162:D162">IFERROR(INDEX(GroupLookup,MATCH(C162,CategoryList,0)),"")</f>
        <v/>
      </c>
      <c r="E162" s="110" t="n"/>
      <c r="F162" s="75" t="n"/>
      <c r="G162" s="75" t="n"/>
    </row>
    <row r="163" ht="15.75" customHeight="1" s="52">
      <c r="A163" s="114" t="n"/>
      <c r="B163" s="76" t="n"/>
      <c r="C163" s="76" t="n"/>
      <c r="D163" s="109">
        <f t="array" ref="D163:D163">IFERROR(INDEX(GroupLookup,MATCH(C163,CategoryList,0)),"")</f>
        <v/>
      </c>
      <c r="E163" s="112" t="n"/>
      <c r="F163" s="76" t="n"/>
      <c r="G163" s="76" t="n"/>
    </row>
    <row r="164" ht="15.75" customHeight="1" s="52">
      <c r="A164" s="108" t="n"/>
      <c r="B164" s="75" t="n"/>
      <c r="C164" s="75" t="n"/>
      <c r="D164" s="109">
        <f t="array" ref="D164:D164">IFERROR(INDEX(GroupLookup,MATCH(C164,CategoryList,0)),"")</f>
        <v/>
      </c>
      <c r="E164" s="110" t="n"/>
      <c r="F164" s="75" t="n"/>
      <c r="G164" s="75" t="n"/>
    </row>
    <row r="165" ht="15.75" customHeight="1" s="52">
      <c r="A165" s="114" t="n"/>
      <c r="B165" s="76" t="n"/>
      <c r="C165" s="76" t="n"/>
      <c r="D165" s="109">
        <f t="array" ref="D165:D165">IFERROR(INDEX(GroupLookup,MATCH(C165,CategoryList,0)),"")</f>
        <v/>
      </c>
      <c r="E165" s="112" t="n"/>
      <c r="F165" s="76" t="n"/>
      <c r="G165" s="76" t="n"/>
    </row>
    <row r="166" ht="15.75" customHeight="1" s="52">
      <c r="A166" s="108" t="n"/>
      <c r="B166" s="75" t="n"/>
      <c r="C166" s="75" t="n"/>
      <c r="D166" s="109">
        <f t="array" ref="D166:D166">IFERROR(INDEX(GroupLookup,MATCH(C166,CategoryList,0)),"")</f>
        <v/>
      </c>
      <c r="E166" s="110" t="n"/>
      <c r="F166" s="75" t="n"/>
      <c r="G166" s="75" t="n"/>
    </row>
    <row r="167" ht="15.75" customHeight="1" s="52">
      <c r="A167" s="114" t="n"/>
      <c r="B167" s="76" t="n"/>
      <c r="C167" s="76" t="n"/>
      <c r="D167" s="109">
        <f t="array" ref="D167:D167">IFERROR(INDEX(GroupLookup,MATCH(C167,CategoryList,0)),"")</f>
        <v/>
      </c>
      <c r="E167" s="112" t="n"/>
      <c r="F167" s="76" t="n"/>
      <c r="G167" s="76" t="n"/>
    </row>
    <row r="168" ht="15.75" customHeight="1" s="52">
      <c r="A168" s="108" t="n"/>
      <c r="B168" s="75" t="n"/>
      <c r="C168" s="75" t="n"/>
      <c r="D168" s="109">
        <f t="array" ref="D168:D168">IFERROR(INDEX(GroupLookup,MATCH(C168,CategoryList,0)),"")</f>
        <v/>
      </c>
      <c r="E168" s="110" t="n"/>
      <c r="F168" s="75" t="n"/>
      <c r="G168" s="75" t="n"/>
    </row>
    <row r="169" ht="15.75" customHeight="1" s="52">
      <c r="A169" s="114" t="n"/>
      <c r="B169" s="76" t="n"/>
      <c r="C169" s="76" t="n"/>
      <c r="D169" s="109">
        <f t="array" ref="D169:D169">IFERROR(INDEX(GroupLookup,MATCH(C169,CategoryList,0)),"")</f>
        <v/>
      </c>
      <c r="E169" s="112" t="n"/>
      <c r="F169" s="76" t="n"/>
      <c r="G169" s="76" t="n"/>
    </row>
    <row r="170" ht="15.75" customHeight="1" s="52">
      <c r="A170" s="108" t="n"/>
      <c r="B170" s="75" t="n"/>
      <c r="C170" s="75" t="n"/>
      <c r="D170" s="109">
        <f t="array" ref="D170:D170">IFERROR(INDEX(GroupLookup,MATCH(C170,CategoryList,0)),"")</f>
        <v/>
      </c>
      <c r="E170" s="110" t="n"/>
      <c r="F170" s="75" t="n"/>
      <c r="G170" s="75" t="n"/>
    </row>
    <row r="171" ht="15.75" customHeight="1" s="52">
      <c r="A171" s="114" t="n"/>
      <c r="B171" s="76" t="n"/>
      <c r="C171" s="76" t="n"/>
      <c r="D171" s="109">
        <f t="array" ref="D171:D171">IFERROR(INDEX(GroupLookup,MATCH(C171,CategoryList,0)),"")</f>
        <v/>
      </c>
      <c r="E171" s="112" t="n"/>
      <c r="F171" s="76" t="n"/>
      <c r="G171" s="76" t="n"/>
    </row>
    <row r="172" ht="15.75" customHeight="1" s="52">
      <c r="A172" s="108" t="n"/>
      <c r="B172" s="75" t="n"/>
      <c r="C172" s="75" t="n"/>
      <c r="D172" s="109">
        <f t="array" ref="D172:D172">IFERROR(INDEX(GroupLookup,MATCH(C172,CategoryList,0)),"")</f>
        <v/>
      </c>
      <c r="E172" s="110" t="n"/>
      <c r="F172" s="75" t="n"/>
      <c r="G172" s="75" t="n"/>
    </row>
    <row r="173" ht="15.75" customHeight="1" s="52">
      <c r="A173" s="114" t="n"/>
      <c r="B173" s="76" t="n"/>
      <c r="C173" s="76" t="n"/>
      <c r="D173" s="109">
        <f t="array" ref="D173:D173">IFERROR(INDEX(GroupLookup,MATCH(C173,CategoryList,0)),"")</f>
        <v/>
      </c>
      <c r="E173" s="112" t="n"/>
      <c r="F173" s="76" t="n"/>
      <c r="G173" s="76" t="n"/>
    </row>
    <row r="174" ht="15.75" customHeight="1" s="52">
      <c r="A174" s="108" t="n"/>
      <c r="B174" s="75" t="n"/>
      <c r="C174" s="75" t="n"/>
      <c r="D174" s="109">
        <f t="array" ref="D174:D174">IFERROR(INDEX(GroupLookup,MATCH(C174,CategoryList,0)),"")</f>
        <v/>
      </c>
      <c r="E174" s="110" t="n"/>
      <c r="F174" s="75" t="n"/>
      <c r="G174" s="75" t="n"/>
    </row>
    <row r="175" ht="15.75" customHeight="1" s="52">
      <c r="A175" s="114" t="n"/>
      <c r="B175" s="76" t="n"/>
      <c r="C175" s="76" t="n"/>
      <c r="D175" s="109">
        <f t="array" ref="D175:D175">IFERROR(INDEX(GroupLookup,MATCH(C175,CategoryList,0)),"")</f>
        <v/>
      </c>
      <c r="E175" s="112" t="n"/>
      <c r="F175" s="76" t="n"/>
      <c r="G175" s="76" t="n"/>
    </row>
    <row r="176" ht="15.75" customHeight="1" s="52">
      <c r="A176" s="108" t="n"/>
      <c r="B176" s="75" t="n"/>
      <c r="C176" s="75" t="n"/>
      <c r="D176" s="109">
        <f t="array" ref="D176:D176">IFERROR(INDEX(GroupLookup,MATCH(C176,CategoryList,0)),"")</f>
        <v/>
      </c>
      <c r="E176" s="110" t="n"/>
      <c r="F176" s="75" t="n"/>
      <c r="G176" s="75" t="n"/>
    </row>
    <row r="177" ht="15.75" customHeight="1" s="52">
      <c r="A177" s="114" t="n"/>
      <c r="B177" s="76" t="n"/>
      <c r="C177" s="76" t="n"/>
      <c r="D177" s="109">
        <f t="array" ref="D177:D177">IFERROR(INDEX(GroupLookup,MATCH(C177,CategoryList,0)),"")</f>
        <v/>
      </c>
      <c r="E177" s="112" t="n"/>
      <c r="F177" s="76" t="n"/>
      <c r="G177" s="76" t="n"/>
    </row>
    <row r="178" ht="15.75" customHeight="1" s="52">
      <c r="A178" s="108" t="n"/>
      <c r="B178" s="75" t="n"/>
      <c r="C178" s="75" t="n"/>
      <c r="D178" s="109">
        <f t="array" ref="D178:D178">IFERROR(INDEX(GroupLookup,MATCH(C178,CategoryList,0)),"")</f>
        <v/>
      </c>
      <c r="E178" s="110" t="n"/>
      <c r="F178" s="75" t="n"/>
      <c r="G178" s="75" t="n"/>
    </row>
    <row r="179" ht="15.75" customHeight="1" s="52">
      <c r="A179" s="114" t="n"/>
      <c r="B179" s="76" t="n"/>
      <c r="C179" s="76" t="n"/>
      <c r="D179" s="109">
        <f t="array" ref="D179:D179">IFERROR(INDEX(GroupLookup,MATCH(C179,CategoryList,0)),"")</f>
        <v/>
      </c>
      <c r="E179" s="112" t="n"/>
      <c r="F179" s="76" t="n"/>
      <c r="G179" s="76" t="n"/>
    </row>
    <row r="180" ht="15.75" customHeight="1" s="52">
      <c r="A180" s="108" t="n"/>
      <c r="B180" s="75" t="n"/>
      <c r="C180" s="75" t="n"/>
      <c r="D180" s="109">
        <f t="array" ref="D180:D180">IFERROR(INDEX(GroupLookup,MATCH(C180,CategoryList,0)),"")</f>
        <v/>
      </c>
      <c r="E180" s="110" t="n"/>
      <c r="F180" s="75" t="n"/>
      <c r="G180" s="75" t="n"/>
    </row>
    <row r="181" ht="15.75" customHeight="1" s="52">
      <c r="A181" s="114" t="n"/>
      <c r="B181" s="76" t="n"/>
      <c r="C181" s="76" t="n"/>
      <c r="D181" s="109">
        <f t="array" ref="D181:D181">IFERROR(INDEX(GroupLookup,MATCH(C181,CategoryList,0)),"")</f>
        <v/>
      </c>
      <c r="E181" s="112" t="n"/>
      <c r="F181" s="76" t="n"/>
      <c r="G181" s="76" t="n"/>
    </row>
    <row r="182" ht="15.75" customHeight="1" s="52">
      <c r="A182" s="108" t="n"/>
      <c r="B182" s="75" t="n"/>
      <c r="C182" s="75" t="n"/>
      <c r="D182" s="109">
        <f t="array" ref="D182:D182">IFERROR(INDEX(GroupLookup,MATCH(C182,CategoryList,0)),"")</f>
        <v/>
      </c>
      <c r="E182" s="110" t="n"/>
      <c r="F182" s="75" t="n"/>
      <c r="G182" s="75" t="n"/>
    </row>
    <row r="183" ht="15.75" customHeight="1" s="52">
      <c r="A183" s="114" t="n"/>
      <c r="B183" s="76" t="n"/>
      <c r="C183" s="76" t="n"/>
      <c r="D183" s="109">
        <f t="array" ref="D183:D183">IFERROR(INDEX(GroupLookup,MATCH(C183,CategoryList,0)),"")</f>
        <v/>
      </c>
      <c r="E183" s="112" t="n"/>
      <c r="F183" s="76" t="n"/>
      <c r="G183" s="76" t="n"/>
    </row>
    <row r="184" ht="15.75" customHeight="1" s="52">
      <c r="A184" s="108" t="n"/>
      <c r="B184" s="75" t="n"/>
      <c r="C184" s="75" t="n"/>
      <c r="D184" s="109">
        <f t="array" ref="D184:D184">IFERROR(INDEX(GroupLookup,MATCH(C184,CategoryList,0)),"")</f>
        <v/>
      </c>
      <c r="E184" s="110" t="n"/>
      <c r="F184" s="75" t="n"/>
      <c r="G184" s="75" t="n"/>
    </row>
    <row r="185" ht="15.75" customHeight="1" s="52">
      <c r="A185" s="114" t="n"/>
      <c r="B185" s="76" t="n"/>
      <c r="C185" s="76" t="n"/>
      <c r="D185" s="109">
        <f t="array" ref="D185:D185">IFERROR(INDEX(GroupLookup,MATCH(C185,CategoryList,0)),"")</f>
        <v/>
      </c>
      <c r="E185" s="112" t="n"/>
      <c r="F185" s="76" t="n"/>
      <c r="G185" s="76" t="n"/>
    </row>
    <row r="186" ht="15.75" customHeight="1" s="52">
      <c r="A186" s="108" t="n"/>
      <c r="B186" s="75" t="n"/>
      <c r="C186" s="75" t="n"/>
      <c r="D186" s="109">
        <f t="array" ref="D186:D186">IFERROR(INDEX(GroupLookup,MATCH(C186,CategoryList,0)),"")</f>
        <v/>
      </c>
      <c r="E186" s="110" t="n"/>
      <c r="F186" s="75" t="n"/>
      <c r="G186" s="75" t="n"/>
    </row>
    <row r="187" ht="15.75" customHeight="1" s="52">
      <c r="A187" s="114" t="n"/>
      <c r="B187" s="76" t="n"/>
      <c r="C187" s="76" t="n"/>
      <c r="D187" s="109">
        <f t="array" ref="D187:D187">IFERROR(INDEX(GroupLookup,MATCH(C187,CategoryList,0)),"")</f>
        <v/>
      </c>
      <c r="E187" s="112" t="n"/>
      <c r="F187" s="76" t="n"/>
      <c r="G187" s="76" t="n"/>
    </row>
    <row r="188" ht="15.75" customHeight="1" s="52">
      <c r="A188" s="108" t="n"/>
      <c r="B188" s="75" t="n"/>
      <c r="C188" s="75" t="n"/>
      <c r="D188" s="109">
        <f t="array" ref="D188:D188">IFERROR(INDEX(GroupLookup,MATCH(C188,CategoryList,0)),"")</f>
        <v/>
      </c>
      <c r="E188" s="110" t="n"/>
      <c r="F188" s="75" t="n"/>
      <c r="G188" s="75" t="n"/>
    </row>
    <row r="189" ht="15.75" customHeight="1" s="52">
      <c r="A189" s="114" t="n"/>
      <c r="B189" s="76" t="n"/>
      <c r="C189" s="76" t="n"/>
      <c r="D189" s="109">
        <f t="array" ref="D189:D189">IFERROR(INDEX(GroupLookup,MATCH(C189,CategoryList,0)),"")</f>
        <v/>
      </c>
      <c r="E189" s="112" t="n"/>
      <c r="F189" s="76" t="n"/>
      <c r="G189" s="76" t="n"/>
    </row>
    <row r="190" ht="15.75" customHeight="1" s="52">
      <c r="A190" s="108" t="n"/>
      <c r="B190" s="75" t="n"/>
      <c r="C190" s="75" t="n"/>
      <c r="D190" s="109">
        <f t="array" ref="D190:D190">IFERROR(INDEX(GroupLookup,MATCH(C190,CategoryList,0)),"")</f>
        <v/>
      </c>
      <c r="E190" s="110" t="n"/>
      <c r="F190" s="75" t="n"/>
      <c r="G190" s="75" t="n"/>
    </row>
    <row r="191" ht="15.75" customHeight="1" s="52">
      <c r="A191" s="114" t="n"/>
      <c r="B191" s="76" t="n"/>
      <c r="C191" s="76" t="n"/>
      <c r="D191" s="109">
        <f t="array" ref="D191:D191">IFERROR(INDEX(GroupLookup,MATCH(C191,CategoryList,0)),"")</f>
        <v/>
      </c>
      <c r="E191" s="112" t="n"/>
      <c r="F191" s="76" t="n"/>
      <c r="G191" s="76" t="n"/>
    </row>
    <row r="192" ht="15.75" customHeight="1" s="52">
      <c r="A192" s="108" t="n"/>
      <c r="B192" s="75" t="n"/>
      <c r="C192" s="75" t="n"/>
      <c r="D192" s="109">
        <f t="array" ref="D192:D192">IFERROR(INDEX(GroupLookup,MATCH(C192,CategoryList,0)),"")</f>
        <v/>
      </c>
      <c r="E192" s="110" t="n"/>
      <c r="F192" s="75" t="n"/>
      <c r="G192" s="75" t="n"/>
    </row>
    <row r="193" ht="15.75" customHeight="1" s="52">
      <c r="A193" s="114" t="n"/>
      <c r="B193" s="76" t="n"/>
      <c r="C193" s="76" t="n"/>
      <c r="D193" s="109">
        <f t="array" ref="D193:D193">IFERROR(INDEX(GroupLookup,MATCH(C193,CategoryList,0)),"")</f>
        <v/>
      </c>
      <c r="E193" s="112" t="n"/>
      <c r="F193" s="76" t="n"/>
      <c r="G193" s="76" t="n"/>
    </row>
    <row r="194" ht="15.75" customHeight="1" s="52">
      <c r="A194" s="108" t="n"/>
      <c r="B194" s="75" t="n"/>
      <c r="C194" s="75" t="n"/>
      <c r="D194" s="109">
        <f t="array" ref="D194:D194">IFERROR(INDEX(GroupLookup,MATCH(C194,CategoryList,0)),"")</f>
        <v/>
      </c>
      <c r="E194" s="110" t="n"/>
      <c r="F194" s="75" t="n"/>
      <c r="G194" s="75" t="n"/>
    </row>
    <row r="195" ht="15.75" customHeight="1" s="52">
      <c r="A195" s="114" t="n"/>
      <c r="B195" s="76" t="n"/>
      <c r="C195" s="76" t="n"/>
      <c r="D195" s="109">
        <f t="array" ref="D195:D195">IFERROR(INDEX(GroupLookup,MATCH(C195,CategoryList,0)),"")</f>
        <v/>
      </c>
      <c r="E195" s="112" t="n"/>
      <c r="F195" s="76" t="n"/>
      <c r="G195" s="76" t="n"/>
    </row>
    <row r="196" ht="15.75" customHeight="1" s="52">
      <c r="A196" s="108" t="n"/>
      <c r="B196" s="75" t="n"/>
      <c r="C196" s="75" t="n"/>
      <c r="D196" s="109">
        <f t="array" ref="D196:D196">IFERROR(INDEX(GroupLookup,MATCH(C196,CategoryList,0)),"")</f>
        <v/>
      </c>
      <c r="E196" s="110" t="n"/>
      <c r="F196" s="75" t="n"/>
      <c r="G196" s="75" t="n"/>
    </row>
    <row r="197" ht="15.75" customHeight="1" s="52">
      <c r="A197" s="114" t="n"/>
      <c r="B197" s="76" t="n"/>
      <c r="C197" s="76" t="n"/>
      <c r="D197" s="109">
        <f t="array" ref="D197:D197">IFERROR(INDEX(GroupLookup,MATCH(C197,CategoryList,0)),"")</f>
        <v/>
      </c>
      <c r="E197" s="112" t="n"/>
      <c r="F197" s="76" t="n"/>
      <c r="G197" s="76" t="n"/>
    </row>
    <row r="198" ht="15.75" customHeight="1" s="52">
      <c r="A198" s="108" t="n"/>
      <c r="B198" s="75" t="n"/>
      <c r="C198" s="75" t="n"/>
      <c r="D198" s="109">
        <f t="array" ref="D198:D198">IFERROR(INDEX(GroupLookup,MATCH(C198,CategoryList,0)),"")</f>
        <v/>
      </c>
      <c r="E198" s="110" t="n"/>
      <c r="F198" s="75" t="n"/>
      <c r="G198" s="75" t="n"/>
    </row>
    <row r="199" ht="15.75" customHeight="1" s="52">
      <c r="A199" s="114" t="n"/>
      <c r="B199" s="76" t="n"/>
      <c r="C199" s="76" t="n"/>
      <c r="D199" s="109">
        <f t="array" ref="D199:D199">IFERROR(INDEX(GroupLookup,MATCH(C199,CategoryList,0)),"")</f>
        <v/>
      </c>
      <c r="E199" s="112" t="n"/>
      <c r="F199" s="76" t="n"/>
      <c r="G199" s="76" t="n"/>
    </row>
    <row r="200" ht="15.75" customHeight="1" s="52">
      <c r="A200" s="108" t="n"/>
      <c r="B200" s="75" t="n"/>
      <c r="C200" s="75" t="n"/>
      <c r="D200" s="109">
        <f t="array" ref="D200:D200">IFERROR(INDEX(GroupLookup,MATCH(C200,CategoryList,0)),"")</f>
        <v/>
      </c>
      <c r="E200" s="110" t="n"/>
      <c r="F200" s="75" t="n"/>
      <c r="G200" s="75" t="n"/>
    </row>
    <row r="201" ht="15.75" customHeight="1" s="52">
      <c r="A201" s="114" t="n"/>
      <c r="B201" s="76" t="n"/>
      <c r="C201" s="76" t="n"/>
      <c r="D201" s="109">
        <f t="array" ref="D201:D201">IFERROR(INDEX(GroupLookup,MATCH(C201,CategoryList,0)),"")</f>
        <v/>
      </c>
      <c r="E201" s="112" t="n"/>
      <c r="F201" s="76" t="n"/>
      <c r="G201" s="76" t="n"/>
    </row>
    <row r="202" ht="15.75" customHeight="1" s="52">
      <c r="A202" s="108" t="n"/>
      <c r="B202" s="75" t="n"/>
      <c r="C202" s="75" t="n"/>
      <c r="D202" s="109">
        <f t="array" ref="D202:D202">IFERROR(INDEX(GroupLookup,MATCH(C202,CategoryList,0)),"")</f>
        <v/>
      </c>
      <c r="E202" s="110" t="n"/>
      <c r="F202" s="75" t="n"/>
      <c r="G202" s="75" t="n"/>
    </row>
    <row r="203" ht="15.75" customHeight="1" s="52">
      <c r="A203" s="114" t="n"/>
      <c r="B203" s="76" t="n"/>
      <c r="C203" s="76" t="n"/>
      <c r="D203" s="109">
        <f t="array" ref="D203:D203">IFERROR(INDEX(GroupLookup,MATCH(C203,CategoryList,0)),"")</f>
        <v/>
      </c>
      <c r="E203" s="112" t="n"/>
      <c r="F203" s="76" t="n"/>
      <c r="G203" s="76" t="n"/>
    </row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autoFilter ref="A3:G203"/>
  <mergeCells count="12">
    <mergeCell ref="A1:G1"/>
    <mergeCell ref="J20:K20"/>
    <mergeCell ref="I2:K2"/>
    <mergeCell ref="I14:K14"/>
    <mergeCell ref="J16:K16"/>
    <mergeCell ref="J15:K15"/>
    <mergeCell ref="I1:K1"/>
    <mergeCell ref="J18:K18"/>
    <mergeCell ref="J19:K19"/>
    <mergeCell ref="A2:G2"/>
    <mergeCell ref="I21:K21"/>
    <mergeCell ref="J17:K17"/>
  </mergeCells>
  <conditionalFormatting sqref="J13">
    <cfRule type="expression" rank="0" priority="2" equalAverage="0" aboveAverage="0" dxfId="0" text="" percent="0" bottom="0">
      <formula>$J$13&lt;&gt;0</formula>
    </cfRule>
  </conditionalFormatting>
  <conditionalFormatting sqref="A4:G203">
    <cfRule type="expression" rank="0" priority="3" equalAverage="0" aboveAverage="0" dxfId="7" text="" percent="0" bottom="0">
      <formula>AND($E4&gt;0,$D4="")</formula>
    </cfRule>
  </conditionalFormatting>
  <dataValidations count="4">
    <dataValidation sqref="E4:E203" showDropDown="0" showInputMessage="0" showErrorMessage="1" allowBlank="1" errorTitle="পরিমাণ ঋণাত্মক হতে পারে না" error="শুধু শূন্য বা তার বেশি সংখ্যা লিখুন। টাকার চিহ্ন নিজে থেকে বসবে।" type="decimal" errorStyle="stop" operator="greaterThanOrEqual">
      <formula1>0</formula1>
      <formula2>0</formula2>
    </dataValidation>
    <dataValidation sqref="C4:C203" showDropDown="0" showInputMessage="0" showErrorMessage="1" allowBlank="1" errorTitle="খাত তালিকায় নেই" error="ড্রপ-ডাউন থেকে একটি খাত বেছে নিন। তালিকার বাইরের খাত লিখলে ‘গ্রুপ’ কলাম খালি থাকবে এবং খরচটি গ্রুপভিত্তিক হিসাবে ধরা পড়বে না। নতুন খাত দরকার হলে ‘সেটিংস’ শিটে যোগ করুন।" type="list" errorStyle="stop" operator="between">
      <formula1>CategoryList</formula1>
      <formula2>0</formula2>
    </dataValidation>
    <dataValidation sqref="F4:F203" showDropDown="0" showInputMessage="0" showErrorMessage="1" allowBlank="1" errorTitle="পেমেন্ট মাধ্যম তালিকায় নেই" error="ড্রপ-ডাউন থেকে একটি পেমেন্ট মাধ্যম বেছে নিন।" type="list" errorStyle="stop" operator="between">
      <formula1>PaymentList</formula1>
      <formula2>0</formula2>
    </dataValidation>
    <dataValidation sqref="A4:A203" showDropDown="0" showInputMessage="0" showErrorMessage="1" allowBlank="1" errorTitle="তারিখ এই মাসের বাইরে" error="তারিখটি এই শিটের মাসের মধ্যে পড়ছে না। ভুল হলে ঠিক করুন, নয়তো ‘হ্যাঁ’ চেপে রেখে দিন।" type="date" errorStyle="warning" operator="between">
      <formula1>DATE(2026,11,1)</formula1>
      <formula2>DATE(2026,11,30)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2E5C99"/>
    <outlinePr summaryBelow="1" summaryRight="1"/>
    <pageSetUpPr fitToPage="0"/>
  </sheetPr>
  <dimension ref="A1:K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3359375" defaultRowHeight="15" zeroHeight="0" outlineLevelRow="0"/>
  <cols>
    <col width="13" customWidth="1" style="51" min="1" max="1"/>
    <col width="34" customWidth="1" style="51" min="2" max="2"/>
    <col width="26" customWidth="1" style="51" min="3" max="3"/>
    <col width="24" customWidth="1" style="51" min="4" max="4"/>
    <col width="15" customWidth="1" style="51" min="5" max="5"/>
    <col width="20" customWidth="1" style="51" min="6" max="6"/>
    <col width="26" customWidth="1" style="51" min="7" max="7"/>
    <col width="3" customWidth="1" style="51" min="8" max="8"/>
    <col width="30" customWidth="1" style="51" min="9" max="9"/>
    <col width="17" customWidth="1" style="51" min="10" max="10"/>
    <col width="12" customWidth="1" style="51" min="11" max="11"/>
    <col width="8.710000000000001" customWidth="1" style="51" min="12" max="26"/>
  </cols>
  <sheetData>
    <row r="1" ht="25.5" customHeight="1" s="52">
      <c r="A1" s="104" t="inlineStr">
        <is>
          <t>দৈনিক খরচের হিসাব  —  ডিসেম্বর ২০২৬</t>
        </is>
      </c>
      <c r="I1" s="105" t="inlineStr">
        <is>
          <t>মাসিক সারসংক্ষেপ</t>
        </is>
      </c>
    </row>
    <row r="2" ht="15.75" customHeight="1" s="52">
      <c r="A2" s="59" t="inlineStr">
        <is>
          <t>শুধু  তারিখ · বিবরণ · খাত · পরিমাণ · পেমেন্ট মাধ্যম · মন্তব্য  ঘরগুলো পূরণ করুন। ‘গ্রুপ’ কলাম স্বয়ংক্রিয়ভাবে পূরণ হবে।</t>
        </is>
      </c>
      <c r="I2" s="106" t="n"/>
    </row>
    <row r="3" ht="21.75" customHeight="1" s="52">
      <c r="A3" s="107" t="inlineStr">
        <is>
          <t>তারিখ</t>
        </is>
      </c>
      <c r="B3" s="107" t="inlineStr">
        <is>
          <t>বিবরণ</t>
        </is>
      </c>
      <c r="C3" s="107" t="inlineStr">
        <is>
          <t>খাত</t>
        </is>
      </c>
      <c r="D3" s="107" t="inlineStr">
        <is>
          <t>গ্রুপ</t>
        </is>
      </c>
      <c r="E3" s="107" t="inlineStr">
        <is>
          <t>পরিমাণ (৳)</t>
        </is>
      </c>
      <c r="F3" s="107" t="inlineStr">
        <is>
          <t>পেমেন্ট মাধ্যম</t>
        </is>
      </c>
      <c r="G3" s="107" t="inlineStr">
        <is>
          <t>মন্তব্য</t>
        </is>
      </c>
      <c r="I3" s="100" t="inlineStr">
        <is>
          <t>গ্রুপ (প্রধান খাত)</t>
        </is>
      </c>
      <c r="J3" s="100" t="inlineStr">
        <is>
          <t>মোট (৳)</t>
        </is>
      </c>
      <c r="K3" s="100" t="inlineStr">
        <is>
          <t>শতাংশ</t>
        </is>
      </c>
    </row>
    <row r="4" ht="15" customHeight="1" s="52">
      <c r="A4" s="108" t="n"/>
      <c r="B4" s="75" t="n"/>
      <c r="C4" s="75" t="n"/>
      <c r="D4" s="109">
        <f t="array" ref="D4:D4">IFERROR(INDEX(GroupLookup,MATCH(C4,CategoryList,0)),"")</f>
        <v/>
      </c>
      <c r="E4" s="110" t="n"/>
      <c r="F4" s="75" t="n"/>
      <c r="G4" s="75" t="n"/>
      <c r="I4" s="75" t="inlineStr">
        <is>
          <t>খাদ্য ও মুদি</t>
        </is>
      </c>
      <c r="J4" s="110">
        <f>SUMIF($D$4:$D$203,$I4,$E$4:$E$203)</f>
        <v/>
      </c>
      <c r="K4" s="111">
        <f>IFERROR($J4/$J$12,0)</f>
        <v/>
      </c>
    </row>
    <row r="5" ht="15" customHeight="1" s="52">
      <c r="A5" s="114" t="n"/>
      <c r="B5" s="76" t="n"/>
      <c r="C5" s="76" t="n"/>
      <c r="D5" s="109">
        <f t="array" ref="D5:D5">IFERROR(INDEX(GroupLookup,MATCH(C5,CategoryList,0)),"")</f>
        <v/>
      </c>
      <c r="E5" s="112" t="n"/>
      <c r="F5" s="76" t="n"/>
      <c r="G5" s="76" t="n"/>
      <c r="I5" s="76" t="inlineStr">
        <is>
          <t>বাসস্থান</t>
        </is>
      </c>
      <c r="J5" s="112">
        <f>SUMIF($D$4:$D$203,$I5,$E$4:$E$203)</f>
        <v/>
      </c>
      <c r="K5" s="113">
        <f>IFERROR($J5/$J$12,0)</f>
        <v/>
      </c>
    </row>
    <row r="6" ht="15" customHeight="1" s="52">
      <c r="A6" s="108" t="n"/>
      <c r="B6" s="75" t="n"/>
      <c r="C6" s="75" t="n"/>
      <c r="D6" s="109">
        <f t="array" ref="D6:D6">IFERROR(INDEX(GroupLookup,MATCH(C6,CategoryList,0)),"")</f>
        <v/>
      </c>
      <c r="E6" s="110" t="n"/>
      <c r="F6" s="75" t="n"/>
      <c r="G6" s="75" t="n"/>
      <c r="I6" s="75" t="inlineStr">
        <is>
          <t>ইউটিলিটি বিল</t>
        </is>
      </c>
      <c r="J6" s="110">
        <f>SUMIF($D$4:$D$203,$I6,$E$4:$E$203)</f>
        <v/>
      </c>
      <c r="K6" s="111">
        <f>IFERROR($J6/$J$12,0)</f>
        <v/>
      </c>
    </row>
    <row r="7" ht="15" customHeight="1" s="52">
      <c r="A7" s="114" t="n"/>
      <c r="B7" s="76" t="n"/>
      <c r="C7" s="76" t="n"/>
      <c r="D7" s="109">
        <f t="array" ref="D7:D7">IFERROR(INDEX(GroupLookup,MATCH(C7,CategoryList,0)),"")</f>
        <v/>
      </c>
      <c r="E7" s="112" t="n"/>
      <c r="F7" s="76" t="n"/>
      <c r="G7" s="76" t="n"/>
      <c r="I7" s="76" t="inlineStr">
        <is>
          <t>যাতায়াত</t>
        </is>
      </c>
      <c r="J7" s="112">
        <f>SUMIF($D$4:$D$203,$I7,$E$4:$E$203)</f>
        <v/>
      </c>
      <c r="K7" s="113">
        <f>IFERROR($J7/$J$12,0)</f>
        <v/>
      </c>
    </row>
    <row r="8" ht="15" customHeight="1" s="52">
      <c r="A8" s="108" t="n"/>
      <c r="B8" s="75" t="n"/>
      <c r="C8" s="75" t="n"/>
      <c r="D8" s="109">
        <f t="array" ref="D8:D8">IFERROR(INDEX(GroupLookup,MATCH(C8,CategoryList,0)),"")</f>
        <v/>
      </c>
      <c r="E8" s="110" t="n"/>
      <c r="F8" s="75" t="n"/>
      <c r="G8" s="75" t="n"/>
      <c r="I8" s="75" t="inlineStr">
        <is>
          <t>স্বাস্থ্য</t>
        </is>
      </c>
      <c r="J8" s="110">
        <f>SUMIF($D$4:$D$203,$I8,$E$4:$E$203)</f>
        <v/>
      </c>
      <c r="K8" s="111">
        <f>IFERROR($J8/$J$12,0)</f>
        <v/>
      </c>
    </row>
    <row r="9" ht="15" customHeight="1" s="52">
      <c r="A9" s="114" t="n"/>
      <c r="B9" s="76" t="n"/>
      <c r="C9" s="76" t="n"/>
      <c r="D9" s="109">
        <f t="array" ref="D9:D9">IFERROR(INDEX(GroupLookup,MATCH(C9,CategoryList,0)),"")</f>
        <v/>
      </c>
      <c r="E9" s="112" t="n"/>
      <c r="F9" s="76" t="n"/>
      <c r="G9" s="76" t="n"/>
      <c r="I9" s="76" t="inlineStr">
        <is>
          <t>শিক্ষা</t>
        </is>
      </c>
      <c r="J9" s="112">
        <f>SUMIF($D$4:$D$203,$I9,$E$4:$E$203)</f>
        <v/>
      </c>
      <c r="K9" s="113">
        <f>IFERROR($J9/$J$12,0)</f>
        <v/>
      </c>
    </row>
    <row r="10" ht="15" customHeight="1" s="52">
      <c r="A10" s="108" t="n"/>
      <c r="B10" s="75" t="n"/>
      <c r="C10" s="75" t="n"/>
      <c r="D10" s="109">
        <f t="array" ref="D10:D10">IFERROR(INDEX(GroupLookup,MATCH(C10,CategoryList,0)),"")</f>
        <v/>
      </c>
      <c r="E10" s="110" t="n"/>
      <c r="F10" s="75" t="n"/>
      <c r="G10" s="75" t="n"/>
      <c r="I10" s="75" t="inlineStr">
        <is>
          <t>ব্যক্তিগত ও গৃহস্থালি</t>
        </is>
      </c>
      <c r="J10" s="110">
        <f>SUMIF($D$4:$D$203,$I10,$E$4:$E$203)</f>
        <v/>
      </c>
      <c r="K10" s="111">
        <f>IFERROR($J10/$J$12,0)</f>
        <v/>
      </c>
    </row>
    <row r="11" ht="15" customHeight="1" s="52">
      <c r="A11" s="114" t="n"/>
      <c r="B11" s="76" t="n"/>
      <c r="C11" s="76" t="n"/>
      <c r="D11" s="109">
        <f t="array" ref="D11:D11">IFERROR(INDEX(GroupLookup,MATCH(C11,CategoryList,0)),"")</f>
        <v/>
      </c>
      <c r="E11" s="112" t="n"/>
      <c r="F11" s="76" t="n"/>
      <c r="G11" s="76" t="n"/>
      <c r="I11" s="76" t="inlineStr">
        <is>
          <t>অন্যান্য</t>
        </is>
      </c>
      <c r="J11" s="112">
        <f>SUMIF($D$4:$D$203,$I11,$E$4:$E$203)</f>
        <v/>
      </c>
      <c r="K11" s="113">
        <f>IFERROR($J11/$J$12,0)</f>
        <v/>
      </c>
    </row>
    <row r="12" ht="15" customHeight="1" s="52">
      <c r="A12" s="108" t="n"/>
      <c r="B12" s="75" t="n"/>
      <c r="C12" s="75" t="n"/>
      <c r="D12" s="109">
        <f t="array" ref="D12:D12">IFERROR(INDEX(GroupLookup,MATCH(C12,CategoryList,0)),"")</f>
        <v/>
      </c>
      <c r="E12" s="110" t="n"/>
      <c r="F12" s="75" t="n"/>
      <c r="G12" s="75" t="n"/>
      <c r="I12" s="72" t="inlineStr">
        <is>
          <t>মোট মাসিক ব্যয়</t>
        </is>
      </c>
      <c r="J12" s="117">
        <f>SUM($E$4:$E$203)</f>
        <v/>
      </c>
      <c r="K12" s="118">
        <f>IFERROR($J$12/$J$12,0)</f>
        <v/>
      </c>
    </row>
    <row r="13" ht="15" customHeight="1" s="52">
      <c r="A13" s="114" t="n"/>
      <c r="B13" s="76" t="n"/>
      <c r="C13" s="76" t="n"/>
      <c r="D13" s="109">
        <f t="array" ref="D13:D13">IFERROR(INDEX(GroupLookup,MATCH(C13,CategoryList,0)),"")</f>
        <v/>
      </c>
      <c r="E13" s="112" t="n"/>
      <c r="F13" s="76" t="n"/>
      <c r="G13" s="76" t="n"/>
      <c r="I13" s="74" t="inlineStr">
        <is>
          <t>শ্রেণিবিন্যাসহীন (খাত তালিকায় নেই)</t>
        </is>
      </c>
      <c r="J13" s="117">
        <f>$J$12-SUM($J$4:$J$11)</f>
        <v/>
      </c>
      <c r="K13" s="118">
        <f>IFERROR($J13/$J$12,0)</f>
        <v/>
      </c>
    </row>
    <row r="14" ht="25.5" customHeight="1" s="52">
      <c r="A14" s="108" t="n"/>
      <c r="B14" s="75" t="n"/>
      <c r="C14" s="75" t="n"/>
      <c r="D14" s="109">
        <f t="array" ref="D14:D14">IFERROR(INDEX(GroupLookup,MATCH(C14,CategoryList,0)),"")</f>
        <v/>
      </c>
      <c r="E14" s="110" t="n"/>
      <c r="F14" s="75" t="n"/>
      <c r="G14" s="75" t="n"/>
      <c r="I14" s="119" t="inlineStr">
        <is>
          <t>গুরুত্বপূর্ণ তথ্য</t>
        </is>
      </c>
    </row>
    <row r="15" ht="15" customHeight="1" s="52">
      <c r="A15" s="114" t="n"/>
      <c r="B15" s="76" t="n"/>
      <c r="C15" s="76" t="n"/>
      <c r="D15" s="109">
        <f t="array" ref="D15:D15">IFERROR(INDEX(GroupLookup,MATCH(C15,CategoryList,0)),"")</f>
        <v/>
      </c>
      <c r="E15" s="112" t="n"/>
      <c r="F15" s="76" t="n"/>
      <c r="G15" s="76" t="n"/>
      <c r="I15" s="67" t="inlineStr">
        <is>
          <t>মোট লেনদেন সংখ্যা</t>
        </is>
      </c>
      <c r="J15" s="120">
        <f>COUNT($E$4:$E$203)</f>
        <v/>
      </c>
      <c r="K15" s="62" t="n"/>
    </row>
    <row r="16" ht="15" customHeight="1" s="52">
      <c r="A16" s="108" t="n"/>
      <c r="B16" s="75" t="n"/>
      <c r="C16" s="75" t="n"/>
      <c r="D16" s="109">
        <f t="array" ref="D16:D16">IFERROR(INDEX(GroupLookup,MATCH(C16,CategoryList,0)),"")</f>
        <v/>
      </c>
      <c r="E16" s="110" t="n"/>
      <c r="F16" s="75" t="n"/>
      <c r="G16" s="75" t="n"/>
      <c r="I16" s="70" t="inlineStr">
        <is>
          <t>দৈনিক গড় খরচ</t>
        </is>
      </c>
      <c r="J16" s="121">
        <f>IFERROR($J$12/31,0)</f>
        <v/>
      </c>
      <c r="K16" s="62" t="n"/>
    </row>
    <row r="17" ht="15" customHeight="1" s="52">
      <c r="A17" s="114" t="n"/>
      <c r="B17" s="76" t="n"/>
      <c r="C17" s="76" t="n"/>
      <c r="D17" s="109">
        <f t="array" ref="D17:D17">IFERROR(INDEX(GroupLookup,MATCH(C17,CategoryList,0)),"")</f>
        <v/>
      </c>
      <c r="E17" s="112" t="n"/>
      <c r="F17" s="76" t="n"/>
      <c r="G17" s="76" t="n"/>
      <c r="I17" s="67" t="inlineStr">
        <is>
          <t>প্রতি লেনদেনে গড়</t>
        </is>
      </c>
      <c r="J17" s="122">
        <f>IFERROR($J$12/COUNT($E$4:$E$203),0)</f>
        <v/>
      </c>
      <c r="K17" s="62" t="n"/>
    </row>
    <row r="18" ht="15" customHeight="1" s="52">
      <c r="A18" s="108" t="n"/>
      <c r="B18" s="75" t="n"/>
      <c r="C18" s="75" t="n"/>
      <c r="D18" s="109">
        <f t="array" ref="D18:D18">IFERROR(INDEX(GroupLookup,MATCH(C18,CategoryList,0)),"")</f>
        <v/>
      </c>
      <c r="E18" s="110" t="n"/>
      <c r="F18" s="75" t="n"/>
      <c r="G18" s="75" t="n"/>
      <c r="I18" s="70" t="inlineStr">
        <is>
          <t>সর্বোচ্চ একক খরচ</t>
        </is>
      </c>
      <c r="J18" s="121">
        <f>IFERROR(MAX($E$4:$E$203),0)</f>
        <v/>
      </c>
      <c r="K18" s="62" t="n"/>
    </row>
    <row r="19" ht="15" customHeight="1" s="52">
      <c r="A19" s="114" t="n"/>
      <c r="B19" s="76" t="n"/>
      <c r="C19" s="76" t="n"/>
      <c r="D19" s="109">
        <f t="array" ref="D19:D19">IFERROR(INDEX(GroupLookup,MATCH(C19,CategoryList,0)),"")</f>
        <v/>
      </c>
      <c r="E19" s="112" t="n"/>
      <c r="F19" s="76" t="n"/>
      <c r="G19" s="76" t="n"/>
      <c r="I19" s="67" t="inlineStr">
        <is>
          <t>সর্বোচ্চ ব্যয়ের গ্রুপ</t>
        </is>
      </c>
      <c r="J19" s="123">
        <f t="array" ref="J19:J19">IF($J$12=0,"–",IFERROR(INDEX($I$4:$I$11,MATCH(MAX($J$4:$J$11),$J$4:$J$11,0)),"–"))</f>
        <v/>
      </c>
      <c r="K19" s="62" t="n"/>
    </row>
    <row r="20" ht="15" customHeight="1" s="52">
      <c r="A20" s="108" t="n"/>
      <c r="B20" s="75" t="n"/>
      <c r="C20" s="75" t="n"/>
      <c r="D20" s="109">
        <f t="array" ref="D20:D20">IFERROR(INDEX(GroupLookup,MATCH(C20,CategoryList,0)),"")</f>
        <v/>
      </c>
      <c r="E20" s="110" t="n"/>
      <c r="F20" s="75" t="n"/>
      <c r="G20" s="75" t="n"/>
      <c r="I20" s="70" t="inlineStr">
        <is>
          <t>সর্বোচ্চ ব্যয়ের খাত</t>
        </is>
      </c>
      <c r="J20" s="124">
        <f t="array" ref="J20:J20">IF($J$12=0,"–",IFERROR(INDEX($I$23:$I$76,MATCH(MAX($J$23:$J$76),$J$23:$J$76,0)),"–"))</f>
        <v/>
      </c>
      <c r="K20" s="62" t="n"/>
    </row>
    <row r="21" ht="25.5" customHeight="1" s="52">
      <c r="A21" s="114" t="n"/>
      <c r="B21" s="76" t="n"/>
      <c r="C21" s="76" t="n"/>
      <c r="D21" s="109">
        <f t="array" ref="D21:D21">IFERROR(INDEX(GroupLookup,MATCH(C21,CategoryList,0)),"")</f>
        <v/>
      </c>
      <c r="E21" s="112" t="n"/>
      <c r="F21" s="76" t="n"/>
      <c r="G21" s="76" t="n"/>
      <c r="I21" s="119" t="inlineStr">
        <is>
          <t>খাতভিত্তিক বিস্তারিত</t>
        </is>
      </c>
    </row>
    <row r="22" ht="15.75" customHeight="1" s="52">
      <c r="A22" s="108" t="n"/>
      <c r="B22" s="75" t="n"/>
      <c r="C22" s="75" t="n"/>
      <c r="D22" s="109">
        <f t="array" ref="D22:D22">IFERROR(INDEX(GroupLookup,MATCH(C22,CategoryList,0)),"")</f>
        <v/>
      </c>
      <c r="E22" s="110" t="n"/>
      <c r="F22" s="75" t="n"/>
      <c r="G22" s="75" t="n"/>
      <c r="I22" s="100" t="inlineStr">
        <is>
          <t>খাত</t>
        </is>
      </c>
      <c r="J22" s="100" t="inlineStr">
        <is>
          <t>মোট (৳)</t>
        </is>
      </c>
      <c r="K22" s="100" t="inlineStr">
        <is>
          <t>শতাংশ</t>
        </is>
      </c>
    </row>
    <row r="23" ht="15.75" customHeight="1" s="52">
      <c r="A23" s="114" t="n"/>
      <c r="B23" s="76" t="n"/>
      <c r="C23" s="76" t="n"/>
      <c r="D23" s="109">
        <f t="array" ref="D23:D23">IFERROR(INDEX(GroupLookup,MATCH(C23,CategoryList,0)),"")</f>
        <v/>
      </c>
      <c r="E23" s="112" t="n"/>
      <c r="F23" s="76" t="n"/>
      <c r="G23" s="76" t="n"/>
      <c r="I23" s="75" t="inlineStr">
        <is>
          <t>চাল</t>
        </is>
      </c>
      <c r="J23" s="110">
        <f>SUMIF($C$4:$C$203,$I23,$E$4:$E$203)</f>
        <v/>
      </c>
      <c r="K23" s="111">
        <f>IFERROR($J23/$J$12,0)</f>
        <v/>
      </c>
    </row>
    <row r="24" ht="15.75" customHeight="1" s="52">
      <c r="A24" s="108" t="n"/>
      <c r="B24" s="75" t="n"/>
      <c r="C24" s="75" t="n"/>
      <c r="D24" s="109">
        <f t="array" ref="D24:D24">IFERROR(INDEX(GroupLookup,MATCH(C24,CategoryList,0)),"")</f>
        <v/>
      </c>
      <c r="E24" s="110" t="n"/>
      <c r="F24" s="75" t="n"/>
      <c r="G24" s="75" t="n"/>
      <c r="I24" s="76" t="inlineStr">
        <is>
          <t>আটা ও ময়দা</t>
        </is>
      </c>
      <c r="J24" s="112">
        <f>SUMIF($C$4:$C$203,$I24,$E$4:$E$203)</f>
        <v/>
      </c>
      <c r="K24" s="113">
        <f>IFERROR($J24/$J$12,0)</f>
        <v/>
      </c>
    </row>
    <row r="25" ht="15.75" customHeight="1" s="52">
      <c r="A25" s="114" t="n"/>
      <c r="B25" s="76" t="n"/>
      <c r="C25" s="76" t="n"/>
      <c r="D25" s="109">
        <f t="array" ref="D25:D25">IFERROR(INDEX(GroupLookup,MATCH(C25,CategoryList,0)),"")</f>
        <v/>
      </c>
      <c r="E25" s="112" t="n"/>
      <c r="F25" s="76" t="n"/>
      <c r="G25" s="76" t="n"/>
      <c r="I25" s="75" t="inlineStr">
        <is>
          <t>ডাল</t>
        </is>
      </c>
      <c r="J25" s="110">
        <f>SUMIF($C$4:$C$203,$I25,$E$4:$E$203)</f>
        <v/>
      </c>
      <c r="K25" s="111">
        <f>IFERROR($J25/$J$12,0)</f>
        <v/>
      </c>
    </row>
    <row r="26" ht="15.75" customHeight="1" s="52">
      <c r="A26" s="108" t="n"/>
      <c r="B26" s="75" t="n"/>
      <c r="C26" s="75" t="n"/>
      <c r="D26" s="109">
        <f t="array" ref="D26:D26">IFERROR(INDEX(GroupLookup,MATCH(C26,CategoryList,0)),"")</f>
        <v/>
      </c>
      <c r="E26" s="110" t="n"/>
      <c r="F26" s="75" t="n"/>
      <c r="G26" s="75" t="n"/>
      <c r="I26" s="76" t="inlineStr">
        <is>
          <t>মাছ</t>
        </is>
      </c>
      <c r="J26" s="112">
        <f>SUMIF($C$4:$C$203,$I26,$E$4:$E$203)</f>
        <v/>
      </c>
      <c r="K26" s="113">
        <f>IFERROR($J26/$J$12,0)</f>
        <v/>
      </c>
    </row>
    <row r="27" ht="15.75" customHeight="1" s="52">
      <c r="A27" s="114" t="n"/>
      <c r="B27" s="76" t="n"/>
      <c r="C27" s="76" t="n"/>
      <c r="D27" s="109">
        <f t="array" ref="D27:D27">IFERROR(INDEX(GroupLookup,MATCH(C27,CategoryList,0)),"")</f>
        <v/>
      </c>
      <c r="E27" s="112" t="n"/>
      <c r="F27" s="76" t="n"/>
      <c r="G27" s="76" t="n"/>
      <c r="I27" s="75" t="inlineStr">
        <is>
          <t>মাংস</t>
        </is>
      </c>
      <c r="J27" s="110">
        <f>SUMIF($C$4:$C$203,$I27,$E$4:$E$203)</f>
        <v/>
      </c>
      <c r="K27" s="111">
        <f>IFERROR($J27/$J$12,0)</f>
        <v/>
      </c>
    </row>
    <row r="28" ht="15.75" customHeight="1" s="52">
      <c r="A28" s="108" t="n"/>
      <c r="B28" s="75" t="n"/>
      <c r="C28" s="75" t="n"/>
      <c r="D28" s="109">
        <f t="array" ref="D28:D28">IFERROR(INDEX(GroupLookup,MATCH(C28,CategoryList,0)),"")</f>
        <v/>
      </c>
      <c r="E28" s="110" t="n"/>
      <c r="F28" s="75" t="n"/>
      <c r="G28" s="75" t="n"/>
      <c r="I28" s="76" t="inlineStr">
        <is>
          <t>ডিম</t>
        </is>
      </c>
      <c r="J28" s="112">
        <f>SUMIF($C$4:$C$203,$I28,$E$4:$E$203)</f>
        <v/>
      </c>
      <c r="K28" s="113">
        <f>IFERROR($J28/$J$12,0)</f>
        <v/>
      </c>
    </row>
    <row r="29" ht="15.75" customHeight="1" s="52">
      <c r="A29" s="114" t="n"/>
      <c r="B29" s="76" t="n"/>
      <c r="C29" s="76" t="n"/>
      <c r="D29" s="109">
        <f t="array" ref="D29:D29">IFERROR(INDEX(GroupLookup,MATCH(C29,CategoryList,0)),"")</f>
        <v/>
      </c>
      <c r="E29" s="112" t="n"/>
      <c r="F29" s="76" t="n"/>
      <c r="G29" s="76" t="n"/>
      <c r="I29" s="75" t="inlineStr">
        <is>
          <t>দুধ ও দুগ্ধজাত পণ্য</t>
        </is>
      </c>
      <c r="J29" s="110">
        <f>SUMIF($C$4:$C$203,$I29,$E$4:$E$203)</f>
        <v/>
      </c>
      <c r="K29" s="111">
        <f>IFERROR($J29/$J$12,0)</f>
        <v/>
      </c>
    </row>
    <row r="30" ht="15.75" customHeight="1" s="52">
      <c r="A30" s="108" t="n"/>
      <c r="B30" s="75" t="n"/>
      <c r="C30" s="75" t="n"/>
      <c r="D30" s="109">
        <f t="array" ref="D30:D30">IFERROR(INDEX(GroupLookup,MATCH(C30,CategoryList,0)),"")</f>
        <v/>
      </c>
      <c r="E30" s="110" t="n"/>
      <c r="F30" s="75" t="n"/>
      <c r="G30" s="75" t="n"/>
      <c r="I30" s="76" t="inlineStr">
        <is>
          <t>ভোজ্য তেল</t>
        </is>
      </c>
      <c r="J30" s="112">
        <f>SUMIF($C$4:$C$203,$I30,$E$4:$E$203)</f>
        <v/>
      </c>
      <c r="K30" s="113">
        <f>IFERROR($J30/$J$12,0)</f>
        <v/>
      </c>
    </row>
    <row r="31" ht="15.75" customHeight="1" s="52">
      <c r="A31" s="114" t="n"/>
      <c r="B31" s="76" t="n"/>
      <c r="C31" s="76" t="n"/>
      <c r="D31" s="109">
        <f t="array" ref="D31:D31">IFERROR(INDEX(GroupLookup,MATCH(C31,CategoryList,0)),"")</f>
        <v/>
      </c>
      <c r="E31" s="112" t="n"/>
      <c r="F31" s="76" t="n"/>
      <c r="G31" s="76" t="n"/>
      <c r="I31" s="75" t="inlineStr">
        <is>
          <t>শাক-সবজি</t>
        </is>
      </c>
      <c r="J31" s="110">
        <f>SUMIF($C$4:$C$203,$I31,$E$4:$E$203)</f>
        <v/>
      </c>
      <c r="K31" s="111">
        <f>IFERROR($J31/$J$12,0)</f>
        <v/>
      </c>
    </row>
    <row r="32" ht="15.75" customHeight="1" s="52">
      <c r="A32" s="108" t="n"/>
      <c r="B32" s="75" t="n"/>
      <c r="C32" s="75" t="n"/>
      <c r="D32" s="109">
        <f t="array" ref="D32:D32">IFERROR(INDEX(GroupLookup,MATCH(C32,CategoryList,0)),"")</f>
        <v/>
      </c>
      <c r="E32" s="110" t="n"/>
      <c r="F32" s="75" t="n"/>
      <c r="G32" s="75" t="n"/>
      <c r="I32" s="76" t="inlineStr">
        <is>
          <t>ফলমূল</t>
        </is>
      </c>
      <c r="J32" s="112">
        <f>SUMIF($C$4:$C$203,$I32,$E$4:$E$203)</f>
        <v/>
      </c>
      <c r="K32" s="113">
        <f>IFERROR($J32/$J$12,0)</f>
        <v/>
      </c>
    </row>
    <row r="33" ht="15.75" customHeight="1" s="52">
      <c r="A33" s="114" t="n"/>
      <c r="B33" s="76" t="n"/>
      <c r="C33" s="76" t="n"/>
      <c r="D33" s="109">
        <f t="array" ref="D33:D33">IFERROR(INDEX(GroupLookup,MATCH(C33,CategoryList,0)),"")</f>
        <v/>
      </c>
      <c r="E33" s="112" t="n"/>
      <c r="F33" s="76" t="n"/>
      <c r="G33" s="76" t="n"/>
      <c r="I33" s="75" t="inlineStr">
        <is>
          <t>মসলা</t>
        </is>
      </c>
      <c r="J33" s="110">
        <f>SUMIF($C$4:$C$203,$I33,$E$4:$E$203)</f>
        <v/>
      </c>
      <c r="K33" s="111">
        <f>IFERROR($J33/$J$12,0)</f>
        <v/>
      </c>
    </row>
    <row r="34" ht="15.75" customHeight="1" s="52">
      <c r="A34" s="108" t="n"/>
      <c r="B34" s="75" t="n"/>
      <c r="C34" s="75" t="n"/>
      <c r="D34" s="109">
        <f t="array" ref="D34:D34">IFERROR(INDEX(GroupLookup,MATCH(C34,CategoryList,0)),"")</f>
        <v/>
      </c>
      <c r="E34" s="110" t="n"/>
      <c r="F34" s="75" t="n"/>
      <c r="G34" s="75" t="n"/>
      <c r="I34" s="76" t="inlineStr">
        <is>
          <t>চিনি ও লবণ</t>
        </is>
      </c>
      <c r="J34" s="112">
        <f>SUMIF($C$4:$C$203,$I34,$E$4:$E$203)</f>
        <v/>
      </c>
      <c r="K34" s="113">
        <f>IFERROR($J34/$J$12,0)</f>
        <v/>
      </c>
    </row>
    <row r="35" ht="15.75" customHeight="1" s="52">
      <c r="A35" s="114" t="n"/>
      <c r="B35" s="76" t="n"/>
      <c r="C35" s="76" t="n"/>
      <c r="D35" s="109">
        <f t="array" ref="D35:D35">IFERROR(INDEX(GroupLookup,MATCH(C35,CategoryList,0)),"")</f>
        <v/>
      </c>
      <c r="E35" s="112" t="n"/>
      <c r="F35" s="76" t="n"/>
      <c r="G35" s="76" t="n"/>
      <c r="I35" s="75" t="inlineStr">
        <is>
          <t>চা ও কফি</t>
        </is>
      </c>
      <c r="J35" s="110">
        <f>SUMIF($C$4:$C$203,$I35,$E$4:$E$203)</f>
        <v/>
      </c>
      <c r="K35" s="111">
        <f>IFERROR($J35/$J$12,0)</f>
        <v/>
      </c>
    </row>
    <row r="36" ht="15.75" customHeight="1" s="52">
      <c r="A36" s="108" t="n"/>
      <c r="B36" s="75" t="n"/>
      <c r="C36" s="75" t="n"/>
      <c r="D36" s="109">
        <f t="array" ref="D36:D36">IFERROR(INDEX(GroupLookup,MATCH(C36,CategoryList,0)),"")</f>
        <v/>
      </c>
      <c r="E36" s="110" t="n"/>
      <c r="F36" s="75" t="n"/>
      <c r="G36" s="75" t="n"/>
      <c r="I36" s="76" t="inlineStr">
        <is>
          <t>নাশতা ও বেকারি</t>
        </is>
      </c>
      <c r="J36" s="112">
        <f>SUMIF($C$4:$C$203,$I36,$E$4:$E$203)</f>
        <v/>
      </c>
      <c r="K36" s="113">
        <f>IFERROR($J36/$J$12,0)</f>
        <v/>
      </c>
    </row>
    <row r="37" ht="15.75" customHeight="1" s="52">
      <c r="A37" s="114" t="n"/>
      <c r="B37" s="76" t="n"/>
      <c r="C37" s="76" t="n"/>
      <c r="D37" s="109">
        <f t="array" ref="D37:D37">IFERROR(INDEX(GroupLookup,MATCH(C37,CategoryList,0)),"")</f>
        <v/>
      </c>
      <c r="E37" s="112" t="n"/>
      <c r="F37" s="76" t="n"/>
      <c r="G37" s="76" t="n"/>
      <c r="I37" s="75" t="inlineStr">
        <is>
          <t>বাইরে খাওয়া / রেস্তোরাঁ</t>
        </is>
      </c>
      <c r="J37" s="110">
        <f>SUMIF($C$4:$C$203,$I37,$E$4:$E$203)</f>
        <v/>
      </c>
      <c r="K37" s="111">
        <f>IFERROR($J37/$J$12,0)</f>
        <v/>
      </c>
    </row>
    <row r="38" ht="15.75" customHeight="1" s="52">
      <c r="A38" s="108" t="n"/>
      <c r="B38" s="75" t="n"/>
      <c r="C38" s="75" t="n"/>
      <c r="D38" s="109">
        <f t="array" ref="D38:D38">IFERROR(INDEX(GroupLookup,MATCH(C38,CategoryList,0)),"")</f>
        <v/>
      </c>
      <c r="E38" s="110" t="n"/>
      <c r="F38" s="75" t="n"/>
      <c r="G38" s="75" t="n"/>
      <c r="I38" s="76" t="inlineStr">
        <is>
          <t>বাড়ি ভাড়া</t>
        </is>
      </c>
      <c r="J38" s="112">
        <f>SUMIF($C$4:$C$203,$I38,$E$4:$E$203)</f>
        <v/>
      </c>
      <c r="K38" s="113">
        <f>IFERROR($J38/$J$12,0)</f>
        <v/>
      </c>
    </row>
    <row r="39" ht="15.75" customHeight="1" s="52">
      <c r="A39" s="114" t="n"/>
      <c r="B39" s="76" t="n"/>
      <c r="C39" s="76" t="n"/>
      <c r="D39" s="109">
        <f t="array" ref="D39:D39">IFERROR(INDEX(GroupLookup,MATCH(C39,CategoryList,0)),"")</f>
        <v/>
      </c>
      <c r="E39" s="112" t="n"/>
      <c r="F39" s="76" t="n"/>
      <c r="G39" s="76" t="n"/>
      <c r="I39" s="75" t="inlineStr">
        <is>
          <t>সার্ভিস চার্জ</t>
        </is>
      </c>
      <c r="J39" s="110">
        <f>SUMIF($C$4:$C$203,$I39,$E$4:$E$203)</f>
        <v/>
      </c>
      <c r="K39" s="111">
        <f>IFERROR($J39/$J$12,0)</f>
        <v/>
      </c>
    </row>
    <row r="40" ht="15.75" customHeight="1" s="52">
      <c r="A40" s="108" t="n"/>
      <c r="B40" s="75" t="n"/>
      <c r="C40" s="75" t="n"/>
      <c r="D40" s="109">
        <f t="array" ref="D40:D40">IFERROR(INDEX(GroupLookup,MATCH(C40,CategoryList,0)),"")</f>
        <v/>
      </c>
      <c r="E40" s="110" t="n"/>
      <c r="F40" s="75" t="n"/>
      <c r="G40" s="75" t="n"/>
      <c r="I40" s="76" t="inlineStr">
        <is>
          <t>বাড়ি মেরামত ও রক্ষণাবেক্ষণ</t>
        </is>
      </c>
      <c r="J40" s="112">
        <f>SUMIF($C$4:$C$203,$I40,$E$4:$E$203)</f>
        <v/>
      </c>
      <c r="K40" s="113">
        <f>IFERROR($J40/$J$12,0)</f>
        <v/>
      </c>
    </row>
    <row r="41" ht="15.75" customHeight="1" s="52">
      <c r="A41" s="114" t="n"/>
      <c r="B41" s="76" t="n"/>
      <c r="C41" s="76" t="n"/>
      <c r="D41" s="109">
        <f t="array" ref="D41:D41">IFERROR(INDEX(GroupLookup,MATCH(C41,CategoryList,0)),"")</f>
        <v/>
      </c>
      <c r="E41" s="112" t="n"/>
      <c r="F41" s="76" t="n"/>
      <c r="G41" s="76" t="n"/>
      <c r="I41" s="75" t="inlineStr">
        <is>
          <t>গৃহকর্মীর বেতন</t>
        </is>
      </c>
      <c r="J41" s="110">
        <f>SUMIF($C$4:$C$203,$I41,$E$4:$E$203)</f>
        <v/>
      </c>
      <c r="K41" s="111">
        <f>IFERROR($J41/$J$12,0)</f>
        <v/>
      </c>
    </row>
    <row r="42" ht="15.75" customHeight="1" s="52">
      <c r="A42" s="108" t="n"/>
      <c r="B42" s="75" t="n"/>
      <c r="C42" s="75" t="n"/>
      <c r="D42" s="109">
        <f t="array" ref="D42:D42">IFERROR(INDEX(GroupLookup,MATCH(C42,CategoryList,0)),"")</f>
        <v/>
      </c>
      <c r="E42" s="110" t="n"/>
      <c r="F42" s="75" t="n"/>
      <c r="G42" s="75" t="n"/>
      <c r="I42" s="76" t="inlineStr">
        <is>
          <t>আসবাবপত্র</t>
        </is>
      </c>
      <c r="J42" s="112">
        <f>SUMIF($C$4:$C$203,$I42,$E$4:$E$203)</f>
        <v/>
      </c>
      <c r="K42" s="113">
        <f>IFERROR($J42/$J$12,0)</f>
        <v/>
      </c>
    </row>
    <row r="43" ht="15.75" customHeight="1" s="52">
      <c r="A43" s="114" t="n"/>
      <c r="B43" s="76" t="n"/>
      <c r="C43" s="76" t="n"/>
      <c r="D43" s="109">
        <f t="array" ref="D43:D43">IFERROR(INDEX(GroupLookup,MATCH(C43,CategoryList,0)),"")</f>
        <v/>
      </c>
      <c r="E43" s="112" t="n"/>
      <c r="F43" s="76" t="n"/>
      <c r="G43" s="76" t="n"/>
      <c r="I43" s="75" t="inlineStr">
        <is>
          <t>বিদ্যুৎ বিল</t>
        </is>
      </c>
      <c r="J43" s="110">
        <f>SUMIF($C$4:$C$203,$I43,$E$4:$E$203)</f>
        <v/>
      </c>
      <c r="K43" s="111">
        <f>IFERROR($J43/$J$12,0)</f>
        <v/>
      </c>
    </row>
    <row r="44" ht="15.75" customHeight="1" s="52">
      <c r="A44" s="108" t="n"/>
      <c r="B44" s="75" t="n"/>
      <c r="C44" s="75" t="n"/>
      <c r="D44" s="109">
        <f t="array" ref="D44:D44">IFERROR(INDEX(GroupLookup,MATCH(C44,CategoryList,0)),"")</f>
        <v/>
      </c>
      <c r="E44" s="110" t="n"/>
      <c r="F44" s="75" t="n"/>
      <c r="G44" s="75" t="n"/>
      <c r="I44" s="76" t="inlineStr">
        <is>
          <t>গ্যাস বিল</t>
        </is>
      </c>
      <c r="J44" s="112">
        <f>SUMIF($C$4:$C$203,$I44,$E$4:$E$203)</f>
        <v/>
      </c>
      <c r="K44" s="113">
        <f>IFERROR($J44/$J$12,0)</f>
        <v/>
      </c>
    </row>
    <row r="45" ht="15.75" customHeight="1" s="52">
      <c r="A45" s="114" t="n"/>
      <c r="B45" s="76" t="n"/>
      <c r="C45" s="76" t="n"/>
      <c r="D45" s="109">
        <f t="array" ref="D45:D45">IFERROR(INDEX(GroupLookup,MATCH(C45,CategoryList,0)),"")</f>
        <v/>
      </c>
      <c r="E45" s="112" t="n"/>
      <c r="F45" s="76" t="n"/>
      <c r="G45" s="76" t="n"/>
      <c r="I45" s="75" t="inlineStr">
        <is>
          <t>পানির বিল</t>
        </is>
      </c>
      <c r="J45" s="110">
        <f>SUMIF($C$4:$C$203,$I45,$E$4:$E$203)</f>
        <v/>
      </c>
      <c r="K45" s="111">
        <f>IFERROR($J45/$J$12,0)</f>
        <v/>
      </c>
    </row>
    <row r="46" ht="15.75" customHeight="1" s="52">
      <c r="A46" s="108" t="n"/>
      <c r="B46" s="75" t="n"/>
      <c r="C46" s="75" t="n"/>
      <c r="D46" s="109">
        <f t="array" ref="D46:D46">IFERROR(INDEX(GroupLookup,MATCH(C46,CategoryList,0)),"")</f>
        <v/>
      </c>
      <c r="E46" s="110" t="n"/>
      <c r="F46" s="75" t="n"/>
      <c r="G46" s="75" t="n"/>
      <c r="I46" s="76" t="inlineStr">
        <is>
          <t>ইন্টারনেট বিল</t>
        </is>
      </c>
      <c r="J46" s="112">
        <f>SUMIF($C$4:$C$203,$I46,$E$4:$E$203)</f>
        <v/>
      </c>
      <c r="K46" s="113">
        <f>IFERROR($J46/$J$12,0)</f>
        <v/>
      </c>
    </row>
    <row r="47" ht="15.75" customHeight="1" s="52">
      <c r="A47" s="114" t="n"/>
      <c r="B47" s="76" t="n"/>
      <c r="C47" s="76" t="n"/>
      <c r="D47" s="109">
        <f t="array" ref="D47:D47">IFERROR(INDEX(GroupLookup,MATCH(C47,CategoryList,0)),"")</f>
        <v/>
      </c>
      <c r="E47" s="112" t="n"/>
      <c r="F47" s="76" t="n"/>
      <c r="G47" s="76" t="n"/>
      <c r="I47" s="75" t="inlineStr">
        <is>
          <t>মোবাইল রিচার্জ</t>
        </is>
      </c>
      <c r="J47" s="110">
        <f>SUMIF($C$4:$C$203,$I47,$E$4:$E$203)</f>
        <v/>
      </c>
      <c r="K47" s="111">
        <f>IFERROR($J47/$J$12,0)</f>
        <v/>
      </c>
    </row>
    <row r="48" ht="15.75" customHeight="1" s="52">
      <c r="A48" s="108" t="n"/>
      <c r="B48" s="75" t="n"/>
      <c r="C48" s="75" t="n"/>
      <c r="D48" s="109">
        <f t="array" ref="D48:D48">IFERROR(INDEX(GroupLookup,MATCH(C48,CategoryList,0)),"")</f>
        <v/>
      </c>
      <c r="E48" s="110" t="n"/>
      <c r="F48" s="75" t="n"/>
      <c r="G48" s="75" t="n"/>
      <c r="I48" s="76" t="inlineStr">
        <is>
          <t>ডিশ / ক্যাবল বিল</t>
        </is>
      </c>
      <c r="J48" s="112">
        <f>SUMIF($C$4:$C$203,$I48,$E$4:$E$203)</f>
        <v/>
      </c>
      <c r="K48" s="113">
        <f>IFERROR($J48/$J$12,0)</f>
        <v/>
      </c>
    </row>
    <row r="49" ht="15.75" customHeight="1" s="52">
      <c r="A49" s="114" t="n"/>
      <c r="B49" s="76" t="n"/>
      <c r="C49" s="76" t="n"/>
      <c r="D49" s="109">
        <f t="array" ref="D49:D49">IFERROR(INDEX(GroupLookup,MATCH(C49,CategoryList,0)),"")</f>
        <v/>
      </c>
      <c r="E49" s="112" t="n"/>
      <c r="F49" s="76" t="n"/>
      <c r="G49" s="76" t="n"/>
      <c r="I49" s="75" t="inlineStr">
        <is>
          <t>পৌর কর ও হোল্ডিং ট্যাক্স</t>
        </is>
      </c>
      <c r="J49" s="110">
        <f>SUMIF($C$4:$C$203,$I49,$E$4:$E$203)</f>
        <v/>
      </c>
      <c r="K49" s="111">
        <f>IFERROR($J49/$J$12,0)</f>
        <v/>
      </c>
    </row>
    <row r="50" ht="15.75" customHeight="1" s="52">
      <c r="A50" s="108" t="n"/>
      <c r="B50" s="75" t="n"/>
      <c r="C50" s="75" t="n"/>
      <c r="D50" s="109">
        <f t="array" ref="D50:D50">IFERROR(INDEX(GroupLookup,MATCH(C50,CategoryList,0)),"")</f>
        <v/>
      </c>
      <c r="E50" s="110" t="n"/>
      <c r="F50" s="75" t="n"/>
      <c r="G50" s="75" t="n"/>
      <c r="I50" s="76" t="inlineStr">
        <is>
          <t>ময়লা ও পরিচ্ছন্নতা বিল</t>
        </is>
      </c>
      <c r="J50" s="112">
        <f>SUMIF($C$4:$C$203,$I50,$E$4:$E$203)</f>
        <v/>
      </c>
      <c r="K50" s="113">
        <f>IFERROR($J50/$J$12,0)</f>
        <v/>
      </c>
    </row>
    <row r="51" ht="15.75" customHeight="1" s="52">
      <c r="A51" s="114" t="n"/>
      <c r="B51" s="76" t="n"/>
      <c r="C51" s="76" t="n"/>
      <c r="D51" s="109">
        <f t="array" ref="D51:D51">IFERROR(INDEX(GroupLookup,MATCH(C51,CategoryList,0)),"")</f>
        <v/>
      </c>
      <c r="E51" s="112" t="n"/>
      <c r="F51" s="76" t="n"/>
      <c r="G51" s="76" t="n"/>
      <c r="I51" s="75" t="inlineStr">
        <is>
          <t>রিকশা / সিএনজি</t>
        </is>
      </c>
      <c r="J51" s="110">
        <f>SUMIF($C$4:$C$203,$I51,$E$4:$E$203)</f>
        <v/>
      </c>
      <c r="K51" s="111">
        <f>IFERROR($J51/$J$12,0)</f>
        <v/>
      </c>
    </row>
    <row r="52" ht="15.75" customHeight="1" s="52">
      <c r="A52" s="108" t="n"/>
      <c r="B52" s="75" t="n"/>
      <c r="C52" s="75" t="n"/>
      <c r="D52" s="109">
        <f t="array" ref="D52:D52">IFERROR(INDEX(GroupLookup,MATCH(C52,CategoryList,0)),"")</f>
        <v/>
      </c>
      <c r="E52" s="110" t="n"/>
      <c r="F52" s="75" t="n"/>
      <c r="G52" s="75" t="n"/>
      <c r="I52" s="76" t="inlineStr">
        <is>
          <t>বাস / ট্রেন / লঞ্চ ভাড়া</t>
        </is>
      </c>
      <c r="J52" s="112">
        <f>SUMIF($C$4:$C$203,$I52,$E$4:$E$203)</f>
        <v/>
      </c>
      <c r="K52" s="113">
        <f>IFERROR($J52/$J$12,0)</f>
        <v/>
      </c>
    </row>
    <row r="53" ht="15.75" customHeight="1" s="52">
      <c r="A53" s="114" t="n"/>
      <c r="B53" s="76" t="n"/>
      <c r="C53" s="76" t="n"/>
      <c r="D53" s="109">
        <f t="array" ref="D53:D53">IFERROR(INDEX(GroupLookup,MATCH(C53,CategoryList,0)),"")</f>
        <v/>
      </c>
      <c r="E53" s="112" t="n"/>
      <c r="F53" s="76" t="n"/>
      <c r="G53" s="76" t="n"/>
      <c r="I53" s="75" t="inlineStr">
        <is>
          <t>রাইড শেয়ারিং</t>
        </is>
      </c>
      <c r="J53" s="110">
        <f>SUMIF($C$4:$C$203,$I53,$E$4:$E$203)</f>
        <v/>
      </c>
      <c r="K53" s="111">
        <f>IFERROR($J53/$J$12,0)</f>
        <v/>
      </c>
    </row>
    <row r="54" ht="15.75" customHeight="1" s="52">
      <c r="A54" s="108" t="n"/>
      <c r="B54" s="75" t="n"/>
      <c r="C54" s="75" t="n"/>
      <c r="D54" s="109">
        <f t="array" ref="D54:D54">IFERROR(INDEX(GroupLookup,MATCH(C54,CategoryList,0)),"")</f>
        <v/>
      </c>
      <c r="E54" s="110" t="n"/>
      <c r="F54" s="75" t="n"/>
      <c r="G54" s="75" t="n"/>
      <c r="I54" s="76" t="inlineStr">
        <is>
          <t>জ্বালানি (পেট্রোল / ডিজেল)</t>
        </is>
      </c>
      <c r="J54" s="112">
        <f>SUMIF($C$4:$C$203,$I54,$E$4:$E$203)</f>
        <v/>
      </c>
      <c r="K54" s="113">
        <f>IFERROR($J54/$J$12,0)</f>
        <v/>
      </c>
    </row>
    <row r="55" ht="15.75" customHeight="1" s="52">
      <c r="A55" s="114" t="n"/>
      <c r="B55" s="76" t="n"/>
      <c r="C55" s="76" t="n"/>
      <c r="D55" s="109">
        <f t="array" ref="D55:D55">IFERROR(INDEX(GroupLookup,MATCH(C55,CategoryList,0)),"")</f>
        <v/>
      </c>
      <c r="E55" s="112" t="n"/>
      <c r="F55" s="76" t="n"/>
      <c r="G55" s="76" t="n"/>
      <c r="I55" s="75" t="inlineStr">
        <is>
          <t>গাড়ি / বাইক রক্ষণাবেক্ষণ</t>
        </is>
      </c>
      <c r="J55" s="110">
        <f>SUMIF($C$4:$C$203,$I55,$E$4:$E$203)</f>
        <v/>
      </c>
      <c r="K55" s="111">
        <f>IFERROR($J55/$J$12,0)</f>
        <v/>
      </c>
    </row>
    <row r="56" ht="15.75" customHeight="1" s="52">
      <c r="A56" s="108" t="n"/>
      <c r="B56" s="75" t="n"/>
      <c r="C56" s="75" t="n"/>
      <c r="D56" s="109">
        <f t="array" ref="D56:D56">IFERROR(INDEX(GroupLookup,MATCH(C56,CategoryList,0)),"")</f>
        <v/>
      </c>
      <c r="E56" s="110" t="n"/>
      <c r="F56" s="75" t="n"/>
      <c r="G56" s="75" t="n"/>
      <c r="I56" s="76" t="inlineStr">
        <is>
          <t>পার্কিং ও টোল</t>
        </is>
      </c>
      <c r="J56" s="112">
        <f>SUMIF($C$4:$C$203,$I56,$E$4:$E$203)</f>
        <v/>
      </c>
      <c r="K56" s="113">
        <f>IFERROR($J56/$J$12,0)</f>
        <v/>
      </c>
    </row>
    <row r="57" ht="15.75" customHeight="1" s="52">
      <c r="A57" s="114" t="n"/>
      <c r="B57" s="76" t="n"/>
      <c r="C57" s="76" t="n"/>
      <c r="D57" s="109">
        <f t="array" ref="D57:D57">IFERROR(INDEX(GroupLookup,MATCH(C57,CategoryList,0)),"")</f>
        <v/>
      </c>
      <c r="E57" s="112" t="n"/>
      <c r="F57" s="76" t="n"/>
      <c r="G57" s="76" t="n"/>
      <c r="I57" s="75" t="inlineStr">
        <is>
          <t>ওষুধ</t>
        </is>
      </c>
      <c r="J57" s="110">
        <f>SUMIF($C$4:$C$203,$I57,$E$4:$E$203)</f>
        <v/>
      </c>
      <c r="K57" s="111">
        <f>IFERROR($J57/$J$12,0)</f>
        <v/>
      </c>
    </row>
    <row r="58" ht="15.75" customHeight="1" s="52">
      <c r="A58" s="108" t="n"/>
      <c r="B58" s="75" t="n"/>
      <c r="C58" s="75" t="n"/>
      <c r="D58" s="109">
        <f t="array" ref="D58:D58">IFERROR(INDEX(GroupLookup,MATCH(C58,CategoryList,0)),"")</f>
        <v/>
      </c>
      <c r="E58" s="110" t="n"/>
      <c r="F58" s="75" t="n"/>
      <c r="G58" s="75" t="n"/>
      <c r="I58" s="76" t="inlineStr">
        <is>
          <t>ডাক্তারের ফি</t>
        </is>
      </c>
      <c r="J58" s="112">
        <f>SUMIF($C$4:$C$203,$I58,$E$4:$E$203)</f>
        <v/>
      </c>
      <c r="K58" s="113">
        <f>IFERROR($J58/$J$12,0)</f>
        <v/>
      </c>
    </row>
    <row r="59" ht="15.75" customHeight="1" s="52">
      <c r="A59" s="114" t="n"/>
      <c r="B59" s="76" t="n"/>
      <c r="C59" s="76" t="n"/>
      <c r="D59" s="109">
        <f t="array" ref="D59:D59">IFERROR(INDEX(GroupLookup,MATCH(C59,CategoryList,0)),"")</f>
        <v/>
      </c>
      <c r="E59" s="112" t="n"/>
      <c r="F59" s="76" t="n"/>
      <c r="G59" s="76" t="n"/>
      <c r="I59" s="75" t="inlineStr">
        <is>
          <t>চিকিৎসা পরীক্ষা</t>
        </is>
      </c>
      <c r="J59" s="110">
        <f>SUMIF($C$4:$C$203,$I59,$E$4:$E$203)</f>
        <v/>
      </c>
      <c r="K59" s="111">
        <f>IFERROR($J59/$J$12,0)</f>
        <v/>
      </c>
    </row>
    <row r="60" ht="15.75" customHeight="1" s="52">
      <c r="A60" s="108" t="n"/>
      <c r="B60" s="75" t="n"/>
      <c r="C60" s="75" t="n"/>
      <c r="D60" s="109">
        <f t="array" ref="D60:D60">IFERROR(INDEX(GroupLookup,MATCH(C60,CategoryList,0)),"")</f>
        <v/>
      </c>
      <c r="E60" s="110" t="n"/>
      <c r="F60" s="75" t="n"/>
      <c r="G60" s="75" t="n"/>
      <c r="I60" s="76" t="inlineStr">
        <is>
          <t>স্বাস্থ্য বীমা</t>
        </is>
      </c>
      <c r="J60" s="112">
        <f>SUMIF($C$4:$C$203,$I60,$E$4:$E$203)</f>
        <v/>
      </c>
      <c r="K60" s="113">
        <f>IFERROR($J60/$J$12,0)</f>
        <v/>
      </c>
    </row>
    <row r="61" ht="15.75" customHeight="1" s="52">
      <c r="A61" s="114" t="n"/>
      <c r="B61" s="76" t="n"/>
      <c r="C61" s="76" t="n"/>
      <c r="D61" s="109">
        <f t="array" ref="D61:D61">IFERROR(INDEX(GroupLookup,MATCH(C61,CategoryList,0)),"")</f>
        <v/>
      </c>
      <c r="E61" s="112" t="n"/>
      <c r="F61" s="76" t="n"/>
      <c r="G61" s="76" t="n"/>
      <c r="I61" s="75" t="inlineStr">
        <is>
          <t>স্কুল / কলেজ ফি</t>
        </is>
      </c>
      <c r="J61" s="110">
        <f>SUMIF($C$4:$C$203,$I61,$E$4:$E$203)</f>
        <v/>
      </c>
      <c r="K61" s="111">
        <f>IFERROR($J61/$J$12,0)</f>
        <v/>
      </c>
    </row>
    <row r="62" ht="15.75" customHeight="1" s="52">
      <c r="A62" s="108" t="n"/>
      <c r="B62" s="75" t="n"/>
      <c r="C62" s="75" t="n"/>
      <c r="D62" s="109">
        <f t="array" ref="D62:D62">IFERROR(INDEX(GroupLookup,MATCH(C62,CategoryList,0)),"")</f>
        <v/>
      </c>
      <c r="E62" s="110" t="n"/>
      <c r="F62" s="75" t="n"/>
      <c r="G62" s="75" t="n"/>
      <c r="I62" s="76" t="inlineStr">
        <is>
          <t>প্রাইভেট / কোচিং</t>
        </is>
      </c>
      <c r="J62" s="112">
        <f>SUMIF($C$4:$C$203,$I62,$E$4:$E$203)</f>
        <v/>
      </c>
      <c r="K62" s="113">
        <f>IFERROR($J62/$J$12,0)</f>
        <v/>
      </c>
    </row>
    <row r="63" ht="15.75" customHeight="1" s="52">
      <c r="A63" s="114" t="n"/>
      <c r="B63" s="76" t="n"/>
      <c r="C63" s="76" t="n"/>
      <c r="D63" s="109">
        <f t="array" ref="D63:D63">IFERROR(INDEX(GroupLookup,MATCH(C63,CategoryList,0)),"")</f>
        <v/>
      </c>
      <c r="E63" s="112" t="n"/>
      <c r="F63" s="76" t="n"/>
      <c r="G63" s="76" t="n"/>
      <c r="I63" s="75" t="inlineStr">
        <is>
          <t>বই ও শিক্ষা উপকরণ</t>
        </is>
      </c>
      <c r="J63" s="110">
        <f>SUMIF($C$4:$C$203,$I63,$E$4:$E$203)</f>
        <v/>
      </c>
      <c r="K63" s="111">
        <f>IFERROR($J63/$J$12,0)</f>
        <v/>
      </c>
    </row>
    <row r="64" ht="15.75" customHeight="1" s="52">
      <c r="A64" s="108" t="n"/>
      <c r="B64" s="75" t="n"/>
      <c r="C64" s="75" t="n"/>
      <c r="D64" s="109">
        <f t="array" ref="D64:D64">IFERROR(INDEX(GroupLookup,MATCH(C64,CategoryList,0)),"")</f>
        <v/>
      </c>
      <c r="E64" s="110" t="n"/>
      <c r="F64" s="75" t="n"/>
      <c r="G64" s="75" t="n"/>
      <c r="I64" s="76" t="inlineStr">
        <is>
          <t>পরীক্ষার ফি</t>
        </is>
      </c>
      <c r="J64" s="112">
        <f>SUMIF($C$4:$C$203,$I64,$E$4:$E$203)</f>
        <v/>
      </c>
      <c r="K64" s="113">
        <f>IFERROR($J64/$J$12,0)</f>
        <v/>
      </c>
    </row>
    <row r="65" ht="15.75" customHeight="1" s="52">
      <c r="A65" s="114" t="n"/>
      <c r="B65" s="76" t="n"/>
      <c r="C65" s="76" t="n"/>
      <c r="D65" s="109">
        <f t="array" ref="D65:D65">IFERROR(INDEX(GroupLookup,MATCH(C65,CategoryList,0)),"")</f>
        <v/>
      </c>
      <c r="E65" s="112" t="n"/>
      <c r="F65" s="76" t="n"/>
      <c r="G65" s="76" t="n"/>
      <c r="I65" s="75" t="inlineStr">
        <is>
          <t>পোশাক ও জুতা</t>
        </is>
      </c>
      <c r="J65" s="110">
        <f>SUMIF($C$4:$C$203,$I65,$E$4:$E$203)</f>
        <v/>
      </c>
      <c r="K65" s="111">
        <f>IFERROR($J65/$J$12,0)</f>
        <v/>
      </c>
    </row>
    <row r="66" ht="15.75" customHeight="1" s="52">
      <c r="A66" s="108" t="n"/>
      <c r="B66" s="75" t="n"/>
      <c r="C66" s="75" t="n"/>
      <c r="D66" s="109">
        <f t="array" ref="D66:D66">IFERROR(INDEX(GroupLookup,MATCH(C66,CategoryList,0)),"")</f>
        <v/>
      </c>
      <c r="E66" s="110" t="n"/>
      <c r="F66" s="75" t="n"/>
      <c r="G66" s="75" t="n"/>
      <c r="I66" s="76" t="inlineStr">
        <is>
          <t>প্রসাধনী ও পরিচর্যা</t>
        </is>
      </c>
      <c r="J66" s="112">
        <f>SUMIF($C$4:$C$203,$I66,$E$4:$E$203)</f>
        <v/>
      </c>
      <c r="K66" s="113">
        <f>IFERROR($J66/$J$12,0)</f>
        <v/>
      </c>
    </row>
    <row r="67" ht="15.75" customHeight="1" s="52">
      <c r="A67" s="114" t="n"/>
      <c r="B67" s="76" t="n"/>
      <c r="C67" s="76" t="n"/>
      <c r="D67" s="109">
        <f t="array" ref="D67:D67">IFERROR(INDEX(GroupLookup,MATCH(C67,CategoryList,0)),"")</f>
        <v/>
      </c>
      <c r="E67" s="112" t="n"/>
      <c r="F67" s="76" t="n"/>
      <c r="G67" s="76" t="n"/>
      <c r="I67" s="75" t="inlineStr">
        <is>
          <t>সাবান ও ডিটারজেন্ট</t>
        </is>
      </c>
      <c r="J67" s="110">
        <f>SUMIF($C$4:$C$203,$I67,$E$4:$E$203)</f>
        <v/>
      </c>
      <c r="K67" s="111">
        <f>IFERROR($J67/$J$12,0)</f>
        <v/>
      </c>
    </row>
    <row r="68" ht="15.75" customHeight="1" s="52">
      <c r="A68" s="108" t="n"/>
      <c r="B68" s="75" t="n"/>
      <c r="C68" s="75" t="n"/>
      <c r="D68" s="109">
        <f t="array" ref="D68:D68">IFERROR(INDEX(GroupLookup,MATCH(C68,CategoryList,0)),"")</f>
        <v/>
      </c>
      <c r="E68" s="110" t="n"/>
      <c r="F68" s="75" t="n"/>
      <c r="G68" s="75" t="n"/>
      <c r="I68" s="76" t="inlineStr">
        <is>
          <t>গৃহস্থালি সামগ্রী</t>
        </is>
      </c>
      <c r="J68" s="112">
        <f>SUMIF($C$4:$C$203,$I68,$E$4:$E$203)</f>
        <v/>
      </c>
      <c r="K68" s="113">
        <f>IFERROR($J68/$J$12,0)</f>
        <v/>
      </c>
    </row>
    <row r="69" ht="15.75" customHeight="1" s="52">
      <c r="A69" s="114" t="n"/>
      <c r="B69" s="76" t="n"/>
      <c r="C69" s="76" t="n"/>
      <c r="D69" s="109">
        <f t="array" ref="D69:D69">IFERROR(INDEX(GroupLookup,MATCH(C69,CategoryList,0)),"")</f>
        <v/>
      </c>
      <c r="E69" s="112" t="n"/>
      <c r="F69" s="76" t="n"/>
      <c r="G69" s="76" t="n"/>
      <c r="I69" s="75" t="inlineStr">
        <is>
          <t>সেলুন / পার্লার</t>
        </is>
      </c>
      <c r="J69" s="110">
        <f>SUMIF($C$4:$C$203,$I69,$E$4:$E$203)</f>
        <v/>
      </c>
      <c r="K69" s="111">
        <f>IFERROR($J69/$J$12,0)</f>
        <v/>
      </c>
    </row>
    <row r="70" ht="15.75" customHeight="1" s="52">
      <c r="A70" s="108" t="n"/>
      <c r="B70" s="75" t="n"/>
      <c r="C70" s="75" t="n"/>
      <c r="D70" s="109">
        <f t="array" ref="D70:D70">IFERROR(INDEX(GroupLookup,MATCH(C70,CategoryList,0)),"")</f>
        <v/>
      </c>
      <c r="E70" s="110" t="n"/>
      <c r="F70" s="75" t="n"/>
      <c r="G70" s="75" t="n"/>
      <c r="I70" s="76" t="inlineStr">
        <is>
          <t>বিনোদন ও ঘোরাঘুরি</t>
        </is>
      </c>
      <c r="J70" s="112">
        <f>SUMIF($C$4:$C$203,$I70,$E$4:$E$203)</f>
        <v/>
      </c>
      <c r="K70" s="113">
        <f>IFERROR($J70/$J$12,0)</f>
        <v/>
      </c>
    </row>
    <row r="71" ht="15.75" customHeight="1" s="52">
      <c r="A71" s="114" t="n"/>
      <c r="B71" s="76" t="n"/>
      <c r="C71" s="76" t="n"/>
      <c r="D71" s="109">
        <f t="array" ref="D71:D71">IFERROR(INDEX(GroupLookup,MATCH(C71,CategoryList,0)),"")</f>
        <v/>
      </c>
      <c r="E71" s="112" t="n"/>
      <c r="F71" s="76" t="n"/>
      <c r="G71" s="76" t="n"/>
      <c r="I71" s="75" t="inlineStr">
        <is>
          <t>উপহার ও অনুষ্ঠান</t>
        </is>
      </c>
      <c r="J71" s="110">
        <f>SUMIF($C$4:$C$203,$I71,$E$4:$E$203)</f>
        <v/>
      </c>
      <c r="K71" s="111">
        <f>IFERROR($J71/$J$12,0)</f>
        <v/>
      </c>
    </row>
    <row r="72" ht="15.75" customHeight="1" s="52">
      <c r="A72" s="108" t="n"/>
      <c r="B72" s="75" t="n"/>
      <c r="C72" s="75" t="n"/>
      <c r="D72" s="109">
        <f t="array" ref="D72:D72">IFERROR(INDEX(GroupLookup,MATCH(C72,CategoryList,0)),"")</f>
        <v/>
      </c>
      <c r="E72" s="110" t="n"/>
      <c r="F72" s="75" t="n"/>
      <c r="G72" s="75" t="n"/>
      <c r="I72" s="76" t="inlineStr">
        <is>
          <t>দান ও যাকাত</t>
        </is>
      </c>
      <c r="J72" s="112">
        <f>SUMIF($C$4:$C$203,$I72,$E$4:$E$203)</f>
        <v/>
      </c>
      <c r="K72" s="113">
        <f>IFERROR($J72/$J$12,0)</f>
        <v/>
      </c>
    </row>
    <row r="73" ht="15.75" customHeight="1" s="52">
      <c r="A73" s="114" t="n"/>
      <c r="B73" s="76" t="n"/>
      <c r="C73" s="76" t="n"/>
      <c r="D73" s="109">
        <f t="array" ref="D73:D73">IFERROR(INDEX(GroupLookup,MATCH(C73,CategoryList,0)),"")</f>
        <v/>
      </c>
      <c r="E73" s="112" t="n"/>
      <c r="F73" s="76" t="n"/>
      <c r="G73" s="76" t="n"/>
      <c r="I73" s="75" t="inlineStr">
        <is>
          <t>সঞ্চয় ও বিনিয়োগ</t>
        </is>
      </c>
      <c r="J73" s="110">
        <f>SUMIF($C$4:$C$203,$I73,$E$4:$E$203)</f>
        <v/>
      </c>
      <c r="K73" s="111">
        <f>IFERROR($J73/$J$12,0)</f>
        <v/>
      </c>
    </row>
    <row r="74" ht="15.75" customHeight="1" s="52">
      <c r="A74" s="108" t="n"/>
      <c r="B74" s="75" t="n"/>
      <c r="C74" s="75" t="n"/>
      <c r="D74" s="109">
        <f t="array" ref="D74:D74">IFERROR(INDEX(GroupLookup,MATCH(C74,CategoryList,0)),"")</f>
        <v/>
      </c>
      <c r="E74" s="110" t="n"/>
      <c r="F74" s="75" t="n"/>
      <c r="G74" s="75" t="n"/>
      <c r="I74" s="76" t="inlineStr">
        <is>
          <t>ঋণ পরিশোধ / কিস্তি</t>
        </is>
      </c>
      <c r="J74" s="112">
        <f>SUMIF($C$4:$C$203,$I74,$E$4:$E$203)</f>
        <v/>
      </c>
      <c r="K74" s="113">
        <f>IFERROR($J74/$J$12,0)</f>
        <v/>
      </c>
    </row>
    <row r="75" ht="15.75" customHeight="1" s="52">
      <c r="A75" s="114" t="n"/>
      <c r="B75" s="76" t="n"/>
      <c r="C75" s="76" t="n"/>
      <c r="D75" s="109">
        <f t="array" ref="D75:D75">IFERROR(INDEX(GroupLookup,MATCH(C75,CategoryList,0)),"")</f>
        <v/>
      </c>
      <c r="E75" s="112" t="n"/>
      <c r="F75" s="76" t="n"/>
      <c r="G75" s="76" t="n"/>
      <c r="I75" s="75" t="inlineStr">
        <is>
          <t>বীমা প্রিমিয়াম</t>
        </is>
      </c>
      <c r="J75" s="110">
        <f>SUMIF($C$4:$C$203,$I75,$E$4:$E$203)</f>
        <v/>
      </c>
      <c r="K75" s="111">
        <f>IFERROR($J75/$J$12,0)</f>
        <v/>
      </c>
    </row>
    <row r="76" ht="15.75" customHeight="1" s="52">
      <c r="A76" s="108" t="n"/>
      <c r="B76" s="75" t="n"/>
      <c r="C76" s="75" t="n"/>
      <c r="D76" s="109">
        <f t="array" ref="D76:D76">IFERROR(INDEX(GroupLookup,MATCH(C76,CategoryList,0)),"")</f>
        <v/>
      </c>
      <c r="E76" s="110" t="n"/>
      <c r="F76" s="75" t="n"/>
      <c r="G76" s="75" t="n"/>
      <c r="I76" s="76" t="inlineStr">
        <is>
          <t>অন্যান্য খরচ</t>
        </is>
      </c>
      <c r="J76" s="112">
        <f>SUMIF($C$4:$C$203,$I76,$E$4:$E$203)</f>
        <v/>
      </c>
      <c r="K76" s="113">
        <f>IFERROR($J76/$J$12,0)</f>
        <v/>
      </c>
    </row>
    <row r="77" ht="15.75" customHeight="1" s="52">
      <c r="A77" s="114" t="n"/>
      <c r="B77" s="76" t="n"/>
      <c r="C77" s="76" t="n"/>
      <c r="D77" s="109">
        <f t="array" ref="D77:D77">IFERROR(INDEX(GroupLookup,MATCH(C77,CategoryList,0)),"")</f>
        <v/>
      </c>
      <c r="E77" s="112" t="n"/>
      <c r="F77" s="76" t="n"/>
      <c r="G77" s="76" t="n"/>
      <c r="I77" s="72" t="inlineStr">
        <is>
          <t>সর্বমোট</t>
        </is>
      </c>
      <c r="J77" s="117">
        <f>SUM($J$23:$J$76)</f>
        <v/>
      </c>
      <c r="K77" s="118">
        <f>IFERROR($J$77/$J$12,0)</f>
        <v/>
      </c>
    </row>
    <row r="78" ht="15.75" customHeight="1" s="52">
      <c r="A78" s="108" t="n"/>
      <c r="B78" s="75" t="n"/>
      <c r="C78" s="75" t="n"/>
      <c r="D78" s="109">
        <f t="array" ref="D78:D78">IFERROR(INDEX(GroupLookup,MATCH(C78,CategoryList,0)),"")</f>
        <v/>
      </c>
      <c r="E78" s="110" t="n"/>
      <c r="F78" s="75" t="n"/>
      <c r="G78" s="75" t="n"/>
    </row>
    <row r="79" ht="15.75" customHeight="1" s="52">
      <c r="A79" s="114" t="n"/>
      <c r="B79" s="76" t="n"/>
      <c r="C79" s="76" t="n"/>
      <c r="D79" s="109">
        <f t="array" ref="D79:D79">IFERROR(INDEX(GroupLookup,MATCH(C79,CategoryList,0)),"")</f>
        <v/>
      </c>
      <c r="E79" s="112" t="n"/>
      <c r="F79" s="76" t="n"/>
      <c r="G79" s="76" t="n"/>
    </row>
    <row r="80" ht="15.75" customHeight="1" s="52">
      <c r="A80" s="108" t="n"/>
      <c r="B80" s="75" t="n"/>
      <c r="C80" s="75" t="n"/>
      <c r="D80" s="109">
        <f t="array" ref="D80:D80">IFERROR(INDEX(GroupLookup,MATCH(C80,CategoryList,0)),"")</f>
        <v/>
      </c>
      <c r="E80" s="110" t="n"/>
      <c r="F80" s="75" t="n"/>
      <c r="G80" s="75" t="n"/>
    </row>
    <row r="81" ht="15.75" customHeight="1" s="52">
      <c r="A81" s="114" t="n"/>
      <c r="B81" s="76" t="n"/>
      <c r="C81" s="76" t="n"/>
      <c r="D81" s="109">
        <f t="array" ref="D81:D81">IFERROR(INDEX(GroupLookup,MATCH(C81,CategoryList,0)),"")</f>
        <v/>
      </c>
      <c r="E81" s="112" t="n"/>
      <c r="F81" s="76" t="n"/>
      <c r="G81" s="76" t="n"/>
    </row>
    <row r="82" ht="15.75" customHeight="1" s="52">
      <c r="A82" s="108" t="n"/>
      <c r="B82" s="75" t="n"/>
      <c r="C82" s="75" t="n"/>
      <c r="D82" s="109">
        <f t="array" ref="D82:D82">IFERROR(INDEX(GroupLookup,MATCH(C82,CategoryList,0)),"")</f>
        <v/>
      </c>
      <c r="E82" s="110" t="n"/>
      <c r="F82" s="75" t="n"/>
      <c r="G82" s="75" t="n"/>
    </row>
    <row r="83" ht="15.75" customHeight="1" s="52">
      <c r="A83" s="114" t="n"/>
      <c r="B83" s="76" t="n"/>
      <c r="C83" s="76" t="n"/>
      <c r="D83" s="109">
        <f t="array" ref="D83:D83">IFERROR(INDEX(GroupLookup,MATCH(C83,CategoryList,0)),"")</f>
        <v/>
      </c>
      <c r="E83" s="112" t="n"/>
      <c r="F83" s="76" t="n"/>
      <c r="G83" s="76" t="n"/>
    </row>
    <row r="84" ht="15.75" customHeight="1" s="52">
      <c r="A84" s="108" t="n"/>
      <c r="B84" s="75" t="n"/>
      <c r="C84" s="75" t="n"/>
      <c r="D84" s="109">
        <f t="array" ref="D84:D84">IFERROR(INDEX(GroupLookup,MATCH(C84,CategoryList,0)),"")</f>
        <v/>
      </c>
      <c r="E84" s="110" t="n"/>
      <c r="F84" s="75" t="n"/>
      <c r="G84" s="75" t="n"/>
    </row>
    <row r="85" ht="15.75" customHeight="1" s="52">
      <c r="A85" s="114" t="n"/>
      <c r="B85" s="76" t="n"/>
      <c r="C85" s="76" t="n"/>
      <c r="D85" s="109">
        <f t="array" ref="D85:D85">IFERROR(INDEX(GroupLookup,MATCH(C85,CategoryList,0)),"")</f>
        <v/>
      </c>
      <c r="E85" s="112" t="n"/>
      <c r="F85" s="76" t="n"/>
      <c r="G85" s="76" t="n"/>
    </row>
    <row r="86" ht="15.75" customHeight="1" s="52">
      <c r="A86" s="108" t="n"/>
      <c r="B86" s="75" t="n"/>
      <c r="C86" s="75" t="n"/>
      <c r="D86" s="109">
        <f t="array" ref="D86:D86">IFERROR(INDEX(GroupLookup,MATCH(C86,CategoryList,0)),"")</f>
        <v/>
      </c>
      <c r="E86" s="110" t="n"/>
      <c r="F86" s="75" t="n"/>
      <c r="G86" s="75" t="n"/>
    </row>
    <row r="87" ht="15.75" customHeight="1" s="52">
      <c r="A87" s="114" t="n"/>
      <c r="B87" s="76" t="n"/>
      <c r="C87" s="76" t="n"/>
      <c r="D87" s="109">
        <f t="array" ref="D87:D87">IFERROR(INDEX(GroupLookup,MATCH(C87,CategoryList,0)),"")</f>
        <v/>
      </c>
      <c r="E87" s="112" t="n"/>
      <c r="F87" s="76" t="n"/>
      <c r="G87" s="76" t="n"/>
    </row>
    <row r="88" ht="15.75" customHeight="1" s="52">
      <c r="A88" s="108" t="n"/>
      <c r="B88" s="75" t="n"/>
      <c r="C88" s="75" t="n"/>
      <c r="D88" s="109">
        <f t="array" ref="D88:D88">IFERROR(INDEX(GroupLookup,MATCH(C88,CategoryList,0)),"")</f>
        <v/>
      </c>
      <c r="E88" s="110" t="n"/>
      <c r="F88" s="75" t="n"/>
      <c r="G88" s="75" t="n"/>
    </row>
    <row r="89" ht="15.75" customHeight="1" s="52">
      <c r="A89" s="114" t="n"/>
      <c r="B89" s="76" t="n"/>
      <c r="C89" s="76" t="n"/>
      <c r="D89" s="109">
        <f t="array" ref="D89:D89">IFERROR(INDEX(GroupLookup,MATCH(C89,CategoryList,0)),"")</f>
        <v/>
      </c>
      <c r="E89" s="112" t="n"/>
      <c r="F89" s="76" t="n"/>
      <c r="G89" s="76" t="n"/>
    </row>
    <row r="90" ht="15.75" customHeight="1" s="52">
      <c r="A90" s="108" t="n"/>
      <c r="B90" s="75" t="n"/>
      <c r="C90" s="75" t="n"/>
      <c r="D90" s="109">
        <f t="array" ref="D90:D90">IFERROR(INDEX(GroupLookup,MATCH(C90,CategoryList,0)),"")</f>
        <v/>
      </c>
      <c r="E90" s="110" t="n"/>
      <c r="F90" s="75" t="n"/>
      <c r="G90" s="75" t="n"/>
    </row>
    <row r="91" ht="15.75" customHeight="1" s="52">
      <c r="A91" s="114" t="n"/>
      <c r="B91" s="76" t="n"/>
      <c r="C91" s="76" t="n"/>
      <c r="D91" s="109">
        <f t="array" ref="D91:D91">IFERROR(INDEX(GroupLookup,MATCH(C91,CategoryList,0)),"")</f>
        <v/>
      </c>
      <c r="E91" s="112" t="n"/>
      <c r="F91" s="76" t="n"/>
      <c r="G91" s="76" t="n"/>
    </row>
    <row r="92" ht="15.75" customHeight="1" s="52">
      <c r="A92" s="108" t="n"/>
      <c r="B92" s="75" t="n"/>
      <c r="C92" s="75" t="n"/>
      <c r="D92" s="109">
        <f t="array" ref="D92:D92">IFERROR(INDEX(GroupLookup,MATCH(C92,CategoryList,0)),"")</f>
        <v/>
      </c>
      <c r="E92" s="110" t="n"/>
      <c r="F92" s="75" t="n"/>
      <c r="G92" s="75" t="n"/>
    </row>
    <row r="93" ht="15.75" customHeight="1" s="52">
      <c r="A93" s="114" t="n"/>
      <c r="B93" s="76" t="n"/>
      <c r="C93" s="76" t="n"/>
      <c r="D93" s="109">
        <f t="array" ref="D93:D93">IFERROR(INDEX(GroupLookup,MATCH(C93,CategoryList,0)),"")</f>
        <v/>
      </c>
      <c r="E93" s="112" t="n"/>
      <c r="F93" s="76" t="n"/>
      <c r="G93" s="76" t="n"/>
    </row>
    <row r="94" ht="15.75" customHeight="1" s="52">
      <c r="A94" s="108" t="n"/>
      <c r="B94" s="75" t="n"/>
      <c r="C94" s="75" t="n"/>
      <c r="D94" s="109">
        <f t="array" ref="D94:D94">IFERROR(INDEX(GroupLookup,MATCH(C94,CategoryList,0)),"")</f>
        <v/>
      </c>
      <c r="E94" s="110" t="n"/>
      <c r="F94" s="75" t="n"/>
      <c r="G94" s="75" t="n"/>
    </row>
    <row r="95" ht="15.75" customHeight="1" s="52">
      <c r="A95" s="114" t="n"/>
      <c r="B95" s="76" t="n"/>
      <c r="C95" s="76" t="n"/>
      <c r="D95" s="109">
        <f t="array" ref="D95:D95">IFERROR(INDEX(GroupLookup,MATCH(C95,CategoryList,0)),"")</f>
        <v/>
      </c>
      <c r="E95" s="112" t="n"/>
      <c r="F95" s="76" t="n"/>
      <c r="G95" s="76" t="n"/>
    </row>
    <row r="96" ht="15.75" customHeight="1" s="52">
      <c r="A96" s="108" t="n"/>
      <c r="B96" s="75" t="n"/>
      <c r="C96" s="75" t="n"/>
      <c r="D96" s="109">
        <f t="array" ref="D96:D96">IFERROR(INDEX(GroupLookup,MATCH(C96,CategoryList,0)),"")</f>
        <v/>
      </c>
      <c r="E96" s="110" t="n"/>
      <c r="F96" s="75" t="n"/>
      <c r="G96" s="75" t="n"/>
    </row>
    <row r="97" ht="15.75" customHeight="1" s="52">
      <c r="A97" s="114" t="n"/>
      <c r="B97" s="76" t="n"/>
      <c r="C97" s="76" t="n"/>
      <c r="D97" s="109">
        <f t="array" ref="D97:D97">IFERROR(INDEX(GroupLookup,MATCH(C97,CategoryList,0)),"")</f>
        <v/>
      </c>
      <c r="E97" s="112" t="n"/>
      <c r="F97" s="76" t="n"/>
      <c r="G97" s="76" t="n"/>
    </row>
    <row r="98" ht="15.75" customHeight="1" s="52">
      <c r="A98" s="108" t="n"/>
      <c r="B98" s="75" t="n"/>
      <c r="C98" s="75" t="n"/>
      <c r="D98" s="109">
        <f t="array" ref="D98:D98">IFERROR(INDEX(GroupLookup,MATCH(C98,CategoryList,0)),"")</f>
        <v/>
      </c>
      <c r="E98" s="110" t="n"/>
      <c r="F98" s="75" t="n"/>
      <c r="G98" s="75" t="n"/>
    </row>
    <row r="99" ht="15.75" customHeight="1" s="52">
      <c r="A99" s="114" t="n"/>
      <c r="B99" s="76" t="n"/>
      <c r="C99" s="76" t="n"/>
      <c r="D99" s="109">
        <f t="array" ref="D99:D99">IFERROR(INDEX(GroupLookup,MATCH(C99,CategoryList,0)),"")</f>
        <v/>
      </c>
      <c r="E99" s="112" t="n"/>
      <c r="F99" s="76" t="n"/>
      <c r="G99" s="76" t="n"/>
    </row>
    <row r="100" ht="15.75" customHeight="1" s="52">
      <c r="A100" s="108" t="n"/>
      <c r="B100" s="75" t="n"/>
      <c r="C100" s="75" t="n"/>
      <c r="D100" s="109">
        <f t="array" ref="D100:D100">IFERROR(INDEX(GroupLookup,MATCH(C100,CategoryList,0)),"")</f>
        <v/>
      </c>
      <c r="E100" s="110" t="n"/>
      <c r="F100" s="75" t="n"/>
      <c r="G100" s="75" t="n"/>
    </row>
    <row r="101" ht="15.75" customHeight="1" s="52">
      <c r="A101" s="114" t="n"/>
      <c r="B101" s="76" t="n"/>
      <c r="C101" s="76" t="n"/>
      <c r="D101" s="109">
        <f t="array" ref="D101:D101">IFERROR(INDEX(GroupLookup,MATCH(C101,CategoryList,0)),"")</f>
        <v/>
      </c>
      <c r="E101" s="112" t="n"/>
      <c r="F101" s="76" t="n"/>
      <c r="G101" s="76" t="n"/>
    </row>
    <row r="102" ht="15.75" customHeight="1" s="52">
      <c r="A102" s="108" t="n"/>
      <c r="B102" s="75" t="n"/>
      <c r="C102" s="75" t="n"/>
      <c r="D102" s="109">
        <f t="array" ref="D102:D102">IFERROR(INDEX(GroupLookup,MATCH(C102,CategoryList,0)),"")</f>
        <v/>
      </c>
      <c r="E102" s="110" t="n"/>
      <c r="F102" s="75" t="n"/>
      <c r="G102" s="75" t="n"/>
    </row>
    <row r="103" ht="15.75" customHeight="1" s="52">
      <c r="A103" s="114" t="n"/>
      <c r="B103" s="76" t="n"/>
      <c r="C103" s="76" t="n"/>
      <c r="D103" s="109">
        <f t="array" ref="D103:D103">IFERROR(INDEX(GroupLookup,MATCH(C103,CategoryList,0)),"")</f>
        <v/>
      </c>
      <c r="E103" s="112" t="n"/>
      <c r="F103" s="76" t="n"/>
      <c r="G103" s="76" t="n"/>
    </row>
    <row r="104" ht="15.75" customHeight="1" s="52">
      <c r="A104" s="108" t="n"/>
      <c r="B104" s="75" t="n"/>
      <c r="C104" s="75" t="n"/>
      <c r="D104" s="109">
        <f t="array" ref="D104:D104">IFERROR(INDEX(GroupLookup,MATCH(C104,CategoryList,0)),"")</f>
        <v/>
      </c>
      <c r="E104" s="110" t="n"/>
      <c r="F104" s="75" t="n"/>
      <c r="G104" s="75" t="n"/>
    </row>
    <row r="105" ht="15.75" customHeight="1" s="52">
      <c r="A105" s="114" t="n"/>
      <c r="B105" s="76" t="n"/>
      <c r="C105" s="76" t="n"/>
      <c r="D105" s="109">
        <f t="array" ref="D105:D105">IFERROR(INDEX(GroupLookup,MATCH(C105,CategoryList,0)),"")</f>
        <v/>
      </c>
      <c r="E105" s="112" t="n"/>
      <c r="F105" s="76" t="n"/>
      <c r="G105" s="76" t="n"/>
    </row>
    <row r="106" ht="15.75" customHeight="1" s="52">
      <c r="A106" s="108" t="n"/>
      <c r="B106" s="75" t="n"/>
      <c r="C106" s="75" t="n"/>
      <c r="D106" s="109">
        <f t="array" ref="D106:D106">IFERROR(INDEX(GroupLookup,MATCH(C106,CategoryList,0)),"")</f>
        <v/>
      </c>
      <c r="E106" s="110" t="n"/>
      <c r="F106" s="75" t="n"/>
      <c r="G106" s="75" t="n"/>
    </row>
    <row r="107" ht="15.75" customHeight="1" s="52">
      <c r="A107" s="114" t="n"/>
      <c r="B107" s="76" t="n"/>
      <c r="C107" s="76" t="n"/>
      <c r="D107" s="109">
        <f t="array" ref="D107:D107">IFERROR(INDEX(GroupLookup,MATCH(C107,CategoryList,0)),"")</f>
        <v/>
      </c>
      <c r="E107" s="112" t="n"/>
      <c r="F107" s="76" t="n"/>
      <c r="G107" s="76" t="n"/>
    </row>
    <row r="108" ht="15.75" customHeight="1" s="52">
      <c r="A108" s="108" t="n"/>
      <c r="B108" s="75" t="n"/>
      <c r="C108" s="75" t="n"/>
      <c r="D108" s="109">
        <f t="array" ref="D108:D108">IFERROR(INDEX(GroupLookup,MATCH(C108,CategoryList,0)),"")</f>
        <v/>
      </c>
      <c r="E108" s="110" t="n"/>
      <c r="F108" s="75" t="n"/>
      <c r="G108" s="75" t="n"/>
    </row>
    <row r="109" ht="15.75" customHeight="1" s="52">
      <c r="A109" s="114" t="n"/>
      <c r="B109" s="76" t="n"/>
      <c r="C109" s="76" t="n"/>
      <c r="D109" s="109">
        <f t="array" ref="D109:D109">IFERROR(INDEX(GroupLookup,MATCH(C109,CategoryList,0)),"")</f>
        <v/>
      </c>
      <c r="E109" s="112" t="n"/>
      <c r="F109" s="76" t="n"/>
      <c r="G109" s="76" t="n"/>
    </row>
    <row r="110" ht="15.75" customHeight="1" s="52">
      <c r="A110" s="108" t="n"/>
      <c r="B110" s="75" t="n"/>
      <c r="C110" s="75" t="n"/>
      <c r="D110" s="109">
        <f t="array" ref="D110:D110">IFERROR(INDEX(GroupLookup,MATCH(C110,CategoryList,0)),"")</f>
        <v/>
      </c>
      <c r="E110" s="110" t="n"/>
      <c r="F110" s="75" t="n"/>
      <c r="G110" s="75" t="n"/>
    </row>
    <row r="111" ht="15.75" customHeight="1" s="52">
      <c r="A111" s="114" t="n"/>
      <c r="B111" s="76" t="n"/>
      <c r="C111" s="76" t="n"/>
      <c r="D111" s="109">
        <f t="array" ref="D111:D111">IFERROR(INDEX(GroupLookup,MATCH(C111,CategoryList,0)),"")</f>
        <v/>
      </c>
      <c r="E111" s="112" t="n"/>
      <c r="F111" s="76" t="n"/>
      <c r="G111" s="76" t="n"/>
    </row>
    <row r="112" ht="15.75" customHeight="1" s="52">
      <c r="A112" s="108" t="n"/>
      <c r="B112" s="75" t="n"/>
      <c r="C112" s="75" t="n"/>
      <c r="D112" s="109">
        <f t="array" ref="D112:D112">IFERROR(INDEX(GroupLookup,MATCH(C112,CategoryList,0)),"")</f>
        <v/>
      </c>
      <c r="E112" s="110" t="n"/>
      <c r="F112" s="75" t="n"/>
      <c r="G112" s="75" t="n"/>
    </row>
    <row r="113" ht="15.75" customHeight="1" s="52">
      <c r="A113" s="114" t="n"/>
      <c r="B113" s="76" t="n"/>
      <c r="C113" s="76" t="n"/>
      <c r="D113" s="109">
        <f t="array" ref="D113:D113">IFERROR(INDEX(GroupLookup,MATCH(C113,CategoryList,0)),"")</f>
        <v/>
      </c>
      <c r="E113" s="112" t="n"/>
      <c r="F113" s="76" t="n"/>
      <c r="G113" s="76" t="n"/>
    </row>
    <row r="114" ht="15.75" customHeight="1" s="52">
      <c r="A114" s="108" t="n"/>
      <c r="B114" s="75" t="n"/>
      <c r="C114" s="75" t="n"/>
      <c r="D114" s="109">
        <f t="array" ref="D114:D114">IFERROR(INDEX(GroupLookup,MATCH(C114,CategoryList,0)),"")</f>
        <v/>
      </c>
      <c r="E114" s="110" t="n"/>
      <c r="F114" s="75" t="n"/>
      <c r="G114" s="75" t="n"/>
    </row>
    <row r="115" ht="15.75" customHeight="1" s="52">
      <c r="A115" s="114" t="n"/>
      <c r="B115" s="76" t="n"/>
      <c r="C115" s="76" t="n"/>
      <c r="D115" s="109">
        <f t="array" ref="D115:D115">IFERROR(INDEX(GroupLookup,MATCH(C115,CategoryList,0)),"")</f>
        <v/>
      </c>
      <c r="E115" s="112" t="n"/>
      <c r="F115" s="76" t="n"/>
      <c r="G115" s="76" t="n"/>
    </row>
    <row r="116" ht="15.75" customHeight="1" s="52">
      <c r="A116" s="108" t="n"/>
      <c r="B116" s="75" t="n"/>
      <c r="C116" s="75" t="n"/>
      <c r="D116" s="109">
        <f t="array" ref="D116:D116">IFERROR(INDEX(GroupLookup,MATCH(C116,CategoryList,0)),"")</f>
        <v/>
      </c>
      <c r="E116" s="110" t="n"/>
      <c r="F116" s="75" t="n"/>
      <c r="G116" s="75" t="n"/>
    </row>
    <row r="117" ht="15.75" customHeight="1" s="52">
      <c r="A117" s="114" t="n"/>
      <c r="B117" s="76" t="n"/>
      <c r="C117" s="76" t="n"/>
      <c r="D117" s="109">
        <f t="array" ref="D117:D117">IFERROR(INDEX(GroupLookup,MATCH(C117,CategoryList,0)),"")</f>
        <v/>
      </c>
      <c r="E117" s="112" t="n"/>
      <c r="F117" s="76" t="n"/>
      <c r="G117" s="76" t="n"/>
    </row>
    <row r="118" ht="15.75" customHeight="1" s="52">
      <c r="A118" s="108" t="n"/>
      <c r="B118" s="75" t="n"/>
      <c r="C118" s="75" t="n"/>
      <c r="D118" s="109">
        <f t="array" ref="D118:D118">IFERROR(INDEX(GroupLookup,MATCH(C118,CategoryList,0)),"")</f>
        <v/>
      </c>
      <c r="E118" s="110" t="n"/>
      <c r="F118" s="75" t="n"/>
      <c r="G118" s="75" t="n"/>
    </row>
    <row r="119" ht="15.75" customHeight="1" s="52">
      <c r="A119" s="114" t="n"/>
      <c r="B119" s="76" t="n"/>
      <c r="C119" s="76" t="n"/>
      <c r="D119" s="109">
        <f t="array" ref="D119:D119">IFERROR(INDEX(GroupLookup,MATCH(C119,CategoryList,0)),"")</f>
        <v/>
      </c>
      <c r="E119" s="112" t="n"/>
      <c r="F119" s="76" t="n"/>
      <c r="G119" s="76" t="n"/>
    </row>
    <row r="120" ht="15.75" customHeight="1" s="52">
      <c r="A120" s="108" t="n"/>
      <c r="B120" s="75" t="n"/>
      <c r="C120" s="75" t="n"/>
      <c r="D120" s="109">
        <f t="array" ref="D120:D120">IFERROR(INDEX(GroupLookup,MATCH(C120,CategoryList,0)),"")</f>
        <v/>
      </c>
      <c r="E120" s="110" t="n"/>
      <c r="F120" s="75" t="n"/>
      <c r="G120" s="75" t="n"/>
    </row>
    <row r="121" ht="15.75" customHeight="1" s="52">
      <c r="A121" s="114" t="n"/>
      <c r="B121" s="76" t="n"/>
      <c r="C121" s="76" t="n"/>
      <c r="D121" s="109">
        <f t="array" ref="D121:D121">IFERROR(INDEX(GroupLookup,MATCH(C121,CategoryList,0)),"")</f>
        <v/>
      </c>
      <c r="E121" s="112" t="n"/>
      <c r="F121" s="76" t="n"/>
      <c r="G121" s="76" t="n"/>
    </row>
    <row r="122" ht="15.75" customHeight="1" s="52">
      <c r="A122" s="108" t="n"/>
      <c r="B122" s="75" t="n"/>
      <c r="C122" s="75" t="n"/>
      <c r="D122" s="109">
        <f t="array" ref="D122:D122">IFERROR(INDEX(GroupLookup,MATCH(C122,CategoryList,0)),"")</f>
        <v/>
      </c>
      <c r="E122" s="110" t="n"/>
      <c r="F122" s="75" t="n"/>
      <c r="G122" s="75" t="n"/>
    </row>
    <row r="123" ht="15.75" customHeight="1" s="52">
      <c r="A123" s="114" t="n"/>
      <c r="B123" s="76" t="n"/>
      <c r="C123" s="76" t="n"/>
      <c r="D123" s="109">
        <f t="array" ref="D123:D123">IFERROR(INDEX(GroupLookup,MATCH(C123,CategoryList,0)),"")</f>
        <v/>
      </c>
      <c r="E123" s="112" t="n"/>
      <c r="F123" s="76" t="n"/>
      <c r="G123" s="76" t="n"/>
    </row>
    <row r="124" ht="15.75" customHeight="1" s="52">
      <c r="A124" s="108" t="n"/>
      <c r="B124" s="75" t="n"/>
      <c r="C124" s="75" t="n"/>
      <c r="D124" s="109">
        <f t="array" ref="D124:D124">IFERROR(INDEX(GroupLookup,MATCH(C124,CategoryList,0)),"")</f>
        <v/>
      </c>
      <c r="E124" s="110" t="n"/>
      <c r="F124" s="75" t="n"/>
      <c r="G124" s="75" t="n"/>
    </row>
    <row r="125" ht="15.75" customHeight="1" s="52">
      <c r="A125" s="114" t="n"/>
      <c r="B125" s="76" t="n"/>
      <c r="C125" s="76" t="n"/>
      <c r="D125" s="109">
        <f t="array" ref="D125:D125">IFERROR(INDEX(GroupLookup,MATCH(C125,CategoryList,0)),"")</f>
        <v/>
      </c>
      <c r="E125" s="112" t="n"/>
      <c r="F125" s="76" t="n"/>
      <c r="G125" s="76" t="n"/>
    </row>
    <row r="126" ht="15.75" customHeight="1" s="52">
      <c r="A126" s="108" t="n"/>
      <c r="B126" s="75" t="n"/>
      <c r="C126" s="75" t="n"/>
      <c r="D126" s="109">
        <f t="array" ref="D126:D126">IFERROR(INDEX(GroupLookup,MATCH(C126,CategoryList,0)),"")</f>
        <v/>
      </c>
      <c r="E126" s="110" t="n"/>
      <c r="F126" s="75" t="n"/>
      <c r="G126" s="75" t="n"/>
    </row>
    <row r="127" ht="15.75" customHeight="1" s="52">
      <c r="A127" s="114" t="n"/>
      <c r="B127" s="76" t="n"/>
      <c r="C127" s="76" t="n"/>
      <c r="D127" s="109">
        <f t="array" ref="D127:D127">IFERROR(INDEX(GroupLookup,MATCH(C127,CategoryList,0)),"")</f>
        <v/>
      </c>
      <c r="E127" s="112" t="n"/>
      <c r="F127" s="76" t="n"/>
      <c r="G127" s="76" t="n"/>
    </row>
    <row r="128" ht="15.75" customHeight="1" s="52">
      <c r="A128" s="108" t="n"/>
      <c r="B128" s="75" t="n"/>
      <c r="C128" s="75" t="n"/>
      <c r="D128" s="109">
        <f t="array" ref="D128:D128">IFERROR(INDEX(GroupLookup,MATCH(C128,CategoryList,0)),"")</f>
        <v/>
      </c>
      <c r="E128" s="110" t="n"/>
      <c r="F128" s="75" t="n"/>
      <c r="G128" s="75" t="n"/>
    </row>
    <row r="129" ht="15.75" customHeight="1" s="52">
      <c r="A129" s="114" t="n"/>
      <c r="B129" s="76" t="n"/>
      <c r="C129" s="76" t="n"/>
      <c r="D129" s="109">
        <f t="array" ref="D129:D129">IFERROR(INDEX(GroupLookup,MATCH(C129,CategoryList,0)),"")</f>
        <v/>
      </c>
      <c r="E129" s="112" t="n"/>
      <c r="F129" s="76" t="n"/>
      <c r="G129" s="76" t="n"/>
    </row>
    <row r="130" ht="15.75" customHeight="1" s="52">
      <c r="A130" s="108" t="n"/>
      <c r="B130" s="75" t="n"/>
      <c r="C130" s="75" t="n"/>
      <c r="D130" s="109">
        <f t="array" ref="D130:D130">IFERROR(INDEX(GroupLookup,MATCH(C130,CategoryList,0)),"")</f>
        <v/>
      </c>
      <c r="E130" s="110" t="n"/>
      <c r="F130" s="75" t="n"/>
      <c r="G130" s="75" t="n"/>
    </row>
    <row r="131" ht="15.75" customHeight="1" s="52">
      <c r="A131" s="114" t="n"/>
      <c r="B131" s="76" t="n"/>
      <c r="C131" s="76" t="n"/>
      <c r="D131" s="109">
        <f t="array" ref="D131:D131">IFERROR(INDEX(GroupLookup,MATCH(C131,CategoryList,0)),"")</f>
        <v/>
      </c>
      <c r="E131" s="112" t="n"/>
      <c r="F131" s="76" t="n"/>
      <c r="G131" s="76" t="n"/>
    </row>
    <row r="132" ht="15.75" customHeight="1" s="52">
      <c r="A132" s="108" t="n"/>
      <c r="B132" s="75" t="n"/>
      <c r="C132" s="75" t="n"/>
      <c r="D132" s="109">
        <f t="array" ref="D132:D132">IFERROR(INDEX(GroupLookup,MATCH(C132,CategoryList,0)),"")</f>
        <v/>
      </c>
      <c r="E132" s="110" t="n"/>
      <c r="F132" s="75" t="n"/>
      <c r="G132" s="75" t="n"/>
    </row>
    <row r="133" ht="15.75" customHeight="1" s="52">
      <c r="A133" s="114" t="n"/>
      <c r="B133" s="76" t="n"/>
      <c r="C133" s="76" t="n"/>
      <c r="D133" s="109">
        <f t="array" ref="D133:D133">IFERROR(INDEX(GroupLookup,MATCH(C133,CategoryList,0)),"")</f>
        <v/>
      </c>
      <c r="E133" s="112" t="n"/>
      <c r="F133" s="76" t="n"/>
      <c r="G133" s="76" t="n"/>
    </row>
    <row r="134" ht="15.75" customHeight="1" s="52">
      <c r="A134" s="108" t="n"/>
      <c r="B134" s="75" t="n"/>
      <c r="C134" s="75" t="n"/>
      <c r="D134" s="109">
        <f t="array" ref="D134:D134">IFERROR(INDEX(GroupLookup,MATCH(C134,CategoryList,0)),"")</f>
        <v/>
      </c>
      <c r="E134" s="110" t="n"/>
      <c r="F134" s="75" t="n"/>
      <c r="G134" s="75" t="n"/>
    </row>
    <row r="135" ht="15.75" customHeight="1" s="52">
      <c r="A135" s="114" t="n"/>
      <c r="B135" s="76" t="n"/>
      <c r="C135" s="76" t="n"/>
      <c r="D135" s="109">
        <f t="array" ref="D135:D135">IFERROR(INDEX(GroupLookup,MATCH(C135,CategoryList,0)),"")</f>
        <v/>
      </c>
      <c r="E135" s="112" t="n"/>
      <c r="F135" s="76" t="n"/>
      <c r="G135" s="76" t="n"/>
    </row>
    <row r="136" ht="15.75" customHeight="1" s="52">
      <c r="A136" s="108" t="n"/>
      <c r="B136" s="75" t="n"/>
      <c r="C136" s="75" t="n"/>
      <c r="D136" s="109">
        <f t="array" ref="D136:D136">IFERROR(INDEX(GroupLookup,MATCH(C136,CategoryList,0)),"")</f>
        <v/>
      </c>
      <c r="E136" s="110" t="n"/>
      <c r="F136" s="75" t="n"/>
      <c r="G136" s="75" t="n"/>
    </row>
    <row r="137" ht="15.75" customHeight="1" s="52">
      <c r="A137" s="114" t="n"/>
      <c r="B137" s="76" t="n"/>
      <c r="C137" s="76" t="n"/>
      <c r="D137" s="109">
        <f t="array" ref="D137:D137">IFERROR(INDEX(GroupLookup,MATCH(C137,CategoryList,0)),"")</f>
        <v/>
      </c>
      <c r="E137" s="112" t="n"/>
      <c r="F137" s="76" t="n"/>
      <c r="G137" s="76" t="n"/>
    </row>
    <row r="138" ht="15.75" customHeight="1" s="52">
      <c r="A138" s="108" t="n"/>
      <c r="B138" s="75" t="n"/>
      <c r="C138" s="75" t="n"/>
      <c r="D138" s="109">
        <f t="array" ref="D138:D138">IFERROR(INDEX(GroupLookup,MATCH(C138,CategoryList,0)),"")</f>
        <v/>
      </c>
      <c r="E138" s="110" t="n"/>
      <c r="F138" s="75" t="n"/>
      <c r="G138" s="75" t="n"/>
    </row>
    <row r="139" ht="15.75" customHeight="1" s="52">
      <c r="A139" s="114" t="n"/>
      <c r="B139" s="76" t="n"/>
      <c r="C139" s="76" t="n"/>
      <c r="D139" s="109">
        <f t="array" ref="D139:D139">IFERROR(INDEX(GroupLookup,MATCH(C139,CategoryList,0)),"")</f>
        <v/>
      </c>
      <c r="E139" s="112" t="n"/>
      <c r="F139" s="76" t="n"/>
      <c r="G139" s="76" t="n"/>
    </row>
    <row r="140" ht="15.75" customHeight="1" s="52">
      <c r="A140" s="108" t="n"/>
      <c r="B140" s="75" t="n"/>
      <c r="C140" s="75" t="n"/>
      <c r="D140" s="109">
        <f t="array" ref="D140:D140">IFERROR(INDEX(GroupLookup,MATCH(C140,CategoryList,0)),"")</f>
        <v/>
      </c>
      <c r="E140" s="110" t="n"/>
      <c r="F140" s="75" t="n"/>
      <c r="G140" s="75" t="n"/>
    </row>
    <row r="141" ht="15.75" customHeight="1" s="52">
      <c r="A141" s="114" t="n"/>
      <c r="B141" s="76" t="n"/>
      <c r="C141" s="76" t="n"/>
      <c r="D141" s="109">
        <f t="array" ref="D141:D141">IFERROR(INDEX(GroupLookup,MATCH(C141,CategoryList,0)),"")</f>
        <v/>
      </c>
      <c r="E141" s="112" t="n"/>
      <c r="F141" s="76" t="n"/>
      <c r="G141" s="76" t="n"/>
    </row>
    <row r="142" ht="15.75" customHeight="1" s="52">
      <c r="A142" s="108" t="n"/>
      <c r="B142" s="75" t="n"/>
      <c r="C142" s="75" t="n"/>
      <c r="D142" s="109">
        <f t="array" ref="D142:D142">IFERROR(INDEX(GroupLookup,MATCH(C142,CategoryList,0)),"")</f>
        <v/>
      </c>
      <c r="E142" s="110" t="n"/>
      <c r="F142" s="75" t="n"/>
      <c r="G142" s="75" t="n"/>
    </row>
    <row r="143" ht="15.75" customHeight="1" s="52">
      <c r="A143" s="114" t="n"/>
      <c r="B143" s="76" t="n"/>
      <c r="C143" s="76" t="n"/>
      <c r="D143" s="109">
        <f t="array" ref="D143:D143">IFERROR(INDEX(GroupLookup,MATCH(C143,CategoryList,0)),"")</f>
        <v/>
      </c>
      <c r="E143" s="112" t="n"/>
      <c r="F143" s="76" t="n"/>
      <c r="G143" s="76" t="n"/>
    </row>
    <row r="144" ht="15.75" customHeight="1" s="52">
      <c r="A144" s="108" t="n"/>
      <c r="B144" s="75" t="n"/>
      <c r="C144" s="75" t="n"/>
      <c r="D144" s="109">
        <f t="array" ref="D144:D144">IFERROR(INDEX(GroupLookup,MATCH(C144,CategoryList,0)),"")</f>
        <v/>
      </c>
      <c r="E144" s="110" t="n"/>
      <c r="F144" s="75" t="n"/>
      <c r="G144" s="75" t="n"/>
    </row>
    <row r="145" ht="15.75" customHeight="1" s="52">
      <c r="A145" s="114" t="n"/>
      <c r="B145" s="76" t="n"/>
      <c r="C145" s="76" t="n"/>
      <c r="D145" s="109">
        <f t="array" ref="D145:D145">IFERROR(INDEX(GroupLookup,MATCH(C145,CategoryList,0)),"")</f>
        <v/>
      </c>
      <c r="E145" s="112" t="n"/>
      <c r="F145" s="76" t="n"/>
      <c r="G145" s="76" t="n"/>
    </row>
    <row r="146" ht="15.75" customHeight="1" s="52">
      <c r="A146" s="108" t="n"/>
      <c r="B146" s="75" t="n"/>
      <c r="C146" s="75" t="n"/>
      <c r="D146" s="109">
        <f t="array" ref="D146:D146">IFERROR(INDEX(GroupLookup,MATCH(C146,CategoryList,0)),"")</f>
        <v/>
      </c>
      <c r="E146" s="110" t="n"/>
      <c r="F146" s="75" t="n"/>
      <c r="G146" s="75" t="n"/>
    </row>
    <row r="147" ht="15.75" customHeight="1" s="52">
      <c r="A147" s="114" t="n"/>
      <c r="B147" s="76" t="n"/>
      <c r="C147" s="76" t="n"/>
      <c r="D147" s="109">
        <f t="array" ref="D147:D147">IFERROR(INDEX(GroupLookup,MATCH(C147,CategoryList,0)),"")</f>
        <v/>
      </c>
      <c r="E147" s="112" t="n"/>
      <c r="F147" s="76" t="n"/>
      <c r="G147" s="76" t="n"/>
    </row>
    <row r="148" ht="15.75" customHeight="1" s="52">
      <c r="A148" s="108" t="n"/>
      <c r="B148" s="75" t="n"/>
      <c r="C148" s="75" t="n"/>
      <c r="D148" s="109">
        <f t="array" ref="D148:D148">IFERROR(INDEX(GroupLookup,MATCH(C148,CategoryList,0)),"")</f>
        <v/>
      </c>
      <c r="E148" s="110" t="n"/>
      <c r="F148" s="75" t="n"/>
      <c r="G148" s="75" t="n"/>
    </row>
    <row r="149" ht="15.75" customHeight="1" s="52">
      <c r="A149" s="114" t="n"/>
      <c r="B149" s="76" t="n"/>
      <c r="C149" s="76" t="n"/>
      <c r="D149" s="109">
        <f t="array" ref="D149:D149">IFERROR(INDEX(GroupLookup,MATCH(C149,CategoryList,0)),"")</f>
        <v/>
      </c>
      <c r="E149" s="112" t="n"/>
      <c r="F149" s="76" t="n"/>
      <c r="G149" s="76" t="n"/>
    </row>
    <row r="150" ht="15.75" customHeight="1" s="52">
      <c r="A150" s="108" t="n"/>
      <c r="B150" s="75" t="n"/>
      <c r="C150" s="75" t="n"/>
      <c r="D150" s="109">
        <f t="array" ref="D150:D150">IFERROR(INDEX(GroupLookup,MATCH(C150,CategoryList,0)),"")</f>
        <v/>
      </c>
      <c r="E150" s="110" t="n"/>
      <c r="F150" s="75" t="n"/>
      <c r="G150" s="75" t="n"/>
    </row>
    <row r="151" ht="15.75" customHeight="1" s="52">
      <c r="A151" s="114" t="n"/>
      <c r="B151" s="76" t="n"/>
      <c r="C151" s="76" t="n"/>
      <c r="D151" s="109">
        <f t="array" ref="D151:D151">IFERROR(INDEX(GroupLookup,MATCH(C151,CategoryList,0)),"")</f>
        <v/>
      </c>
      <c r="E151" s="112" t="n"/>
      <c r="F151" s="76" t="n"/>
      <c r="G151" s="76" t="n"/>
    </row>
    <row r="152" ht="15.75" customHeight="1" s="52">
      <c r="A152" s="108" t="n"/>
      <c r="B152" s="75" t="n"/>
      <c r="C152" s="75" t="n"/>
      <c r="D152" s="109">
        <f t="array" ref="D152:D152">IFERROR(INDEX(GroupLookup,MATCH(C152,CategoryList,0)),"")</f>
        <v/>
      </c>
      <c r="E152" s="110" t="n"/>
      <c r="F152" s="75" t="n"/>
      <c r="G152" s="75" t="n"/>
    </row>
    <row r="153" ht="15.75" customHeight="1" s="52">
      <c r="A153" s="114" t="n"/>
      <c r="B153" s="76" t="n"/>
      <c r="C153" s="76" t="n"/>
      <c r="D153" s="109">
        <f t="array" ref="D153:D153">IFERROR(INDEX(GroupLookup,MATCH(C153,CategoryList,0)),"")</f>
        <v/>
      </c>
      <c r="E153" s="112" t="n"/>
      <c r="F153" s="76" t="n"/>
      <c r="G153" s="76" t="n"/>
    </row>
    <row r="154" ht="15.75" customHeight="1" s="52">
      <c r="A154" s="108" t="n"/>
      <c r="B154" s="75" t="n"/>
      <c r="C154" s="75" t="n"/>
      <c r="D154" s="109">
        <f t="array" ref="D154:D154">IFERROR(INDEX(GroupLookup,MATCH(C154,CategoryList,0)),"")</f>
        <v/>
      </c>
      <c r="E154" s="110" t="n"/>
      <c r="F154" s="75" t="n"/>
      <c r="G154" s="75" t="n"/>
    </row>
    <row r="155" ht="15.75" customHeight="1" s="52">
      <c r="A155" s="114" t="n"/>
      <c r="B155" s="76" t="n"/>
      <c r="C155" s="76" t="n"/>
      <c r="D155" s="109">
        <f t="array" ref="D155:D155">IFERROR(INDEX(GroupLookup,MATCH(C155,CategoryList,0)),"")</f>
        <v/>
      </c>
      <c r="E155" s="112" t="n"/>
      <c r="F155" s="76" t="n"/>
      <c r="G155" s="76" t="n"/>
    </row>
    <row r="156" ht="15.75" customHeight="1" s="52">
      <c r="A156" s="108" t="n"/>
      <c r="B156" s="75" t="n"/>
      <c r="C156" s="75" t="n"/>
      <c r="D156" s="109">
        <f t="array" ref="D156:D156">IFERROR(INDEX(GroupLookup,MATCH(C156,CategoryList,0)),"")</f>
        <v/>
      </c>
      <c r="E156" s="110" t="n"/>
      <c r="F156" s="75" t="n"/>
      <c r="G156" s="75" t="n"/>
    </row>
    <row r="157" ht="15.75" customHeight="1" s="52">
      <c r="A157" s="114" t="n"/>
      <c r="B157" s="76" t="n"/>
      <c r="C157" s="76" t="n"/>
      <c r="D157" s="109">
        <f t="array" ref="D157:D157">IFERROR(INDEX(GroupLookup,MATCH(C157,CategoryList,0)),"")</f>
        <v/>
      </c>
      <c r="E157" s="112" t="n"/>
      <c r="F157" s="76" t="n"/>
      <c r="G157" s="76" t="n"/>
    </row>
    <row r="158" ht="15.75" customHeight="1" s="52">
      <c r="A158" s="108" t="n"/>
      <c r="B158" s="75" t="n"/>
      <c r="C158" s="75" t="n"/>
      <c r="D158" s="109">
        <f t="array" ref="D158:D158">IFERROR(INDEX(GroupLookup,MATCH(C158,CategoryList,0)),"")</f>
        <v/>
      </c>
      <c r="E158" s="110" t="n"/>
      <c r="F158" s="75" t="n"/>
      <c r="G158" s="75" t="n"/>
    </row>
    <row r="159" ht="15.75" customHeight="1" s="52">
      <c r="A159" s="114" t="n"/>
      <c r="B159" s="76" t="n"/>
      <c r="C159" s="76" t="n"/>
      <c r="D159" s="109">
        <f t="array" ref="D159:D159">IFERROR(INDEX(GroupLookup,MATCH(C159,CategoryList,0)),"")</f>
        <v/>
      </c>
      <c r="E159" s="112" t="n"/>
      <c r="F159" s="76" t="n"/>
      <c r="G159" s="76" t="n"/>
    </row>
    <row r="160" ht="15.75" customHeight="1" s="52">
      <c r="A160" s="108" t="n"/>
      <c r="B160" s="75" t="n"/>
      <c r="C160" s="75" t="n"/>
      <c r="D160" s="109">
        <f t="array" ref="D160:D160">IFERROR(INDEX(GroupLookup,MATCH(C160,CategoryList,0)),"")</f>
        <v/>
      </c>
      <c r="E160" s="110" t="n"/>
      <c r="F160" s="75" t="n"/>
      <c r="G160" s="75" t="n"/>
    </row>
    <row r="161" ht="15.75" customHeight="1" s="52">
      <c r="A161" s="114" t="n"/>
      <c r="B161" s="76" t="n"/>
      <c r="C161" s="76" t="n"/>
      <c r="D161" s="109">
        <f t="array" ref="D161:D161">IFERROR(INDEX(GroupLookup,MATCH(C161,CategoryList,0)),"")</f>
        <v/>
      </c>
      <c r="E161" s="112" t="n"/>
      <c r="F161" s="76" t="n"/>
      <c r="G161" s="76" t="n"/>
    </row>
    <row r="162" ht="15.75" customHeight="1" s="52">
      <c r="A162" s="108" t="n"/>
      <c r="B162" s="75" t="n"/>
      <c r="C162" s="75" t="n"/>
      <c r="D162" s="109">
        <f t="array" ref="D162:D162">IFERROR(INDEX(GroupLookup,MATCH(C162,CategoryList,0)),"")</f>
        <v/>
      </c>
      <c r="E162" s="110" t="n"/>
      <c r="F162" s="75" t="n"/>
      <c r="G162" s="75" t="n"/>
    </row>
    <row r="163" ht="15.75" customHeight="1" s="52">
      <c r="A163" s="114" t="n"/>
      <c r="B163" s="76" t="n"/>
      <c r="C163" s="76" t="n"/>
      <c r="D163" s="109">
        <f t="array" ref="D163:D163">IFERROR(INDEX(GroupLookup,MATCH(C163,CategoryList,0)),"")</f>
        <v/>
      </c>
      <c r="E163" s="112" t="n"/>
      <c r="F163" s="76" t="n"/>
      <c r="G163" s="76" t="n"/>
    </row>
    <row r="164" ht="15.75" customHeight="1" s="52">
      <c r="A164" s="108" t="n"/>
      <c r="B164" s="75" t="n"/>
      <c r="C164" s="75" t="n"/>
      <c r="D164" s="109">
        <f t="array" ref="D164:D164">IFERROR(INDEX(GroupLookup,MATCH(C164,CategoryList,0)),"")</f>
        <v/>
      </c>
      <c r="E164" s="110" t="n"/>
      <c r="F164" s="75" t="n"/>
      <c r="G164" s="75" t="n"/>
    </row>
    <row r="165" ht="15.75" customHeight="1" s="52">
      <c r="A165" s="114" t="n"/>
      <c r="B165" s="76" t="n"/>
      <c r="C165" s="76" t="n"/>
      <c r="D165" s="109">
        <f t="array" ref="D165:D165">IFERROR(INDEX(GroupLookup,MATCH(C165,CategoryList,0)),"")</f>
        <v/>
      </c>
      <c r="E165" s="112" t="n"/>
      <c r="F165" s="76" t="n"/>
      <c r="G165" s="76" t="n"/>
    </row>
    <row r="166" ht="15.75" customHeight="1" s="52">
      <c r="A166" s="108" t="n"/>
      <c r="B166" s="75" t="n"/>
      <c r="C166" s="75" t="n"/>
      <c r="D166" s="109">
        <f t="array" ref="D166:D166">IFERROR(INDEX(GroupLookup,MATCH(C166,CategoryList,0)),"")</f>
        <v/>
      </c>
      <c r="E166" s="110" t="n"/>
      <c r="F166" s="75" t="n"/>
      <c r="G166" s="75" t="n"/>
    </row>
    <row r="167" ht="15.75" customHeight="1" s="52">
      <c r="A167" s="114" t="n"/>
      <c r="B167" s="76" t="n"/>
      <c r="C167" s="76" t="n"/>
      <c r="D167" s="109">
        <f t="array" ref="D167:D167">IFERROR(INDEX(GroupLookup,MATCH(C167,CategoryList,0)),"")</f>
        <v/>
      </c>
      <c r="E167" s="112" t="n"/>
      <c r="F167" s="76" t="n"/>
      <c r="G167" s="76" t="n"/>
    </row>
    <row r="168" ht="15.75" customHeight="1" s="52">
      <c r="A168" s="108" t="n"/>
      <c r="B168" s="75" t="n"/>
      <c r="C168" s="75" t="n"/>
      <c r="D168" s="109">
        <f t="array" ref="D168:D168">IFERROR(INDEX(GroupLookup,MATCH(C168,CategoryList,0)),"")</f>
        <v/>
      </c>
      <c r="E168" s="110" t="n"/>
      <c r="F168" s="75" t="n"/>
      <c r="G168" s="75" t="n"/>
    </row>
    <row r="169" ht="15.75" customHeight="1" s="52">
      <c r="A169" s="114" t="n"/>
      <c r="B169" s="76" t="n"/>
      <c r="C169" s="76" t="n"/>
      <c r="D169" s="109">
        <f t="array" ref="D169:D169">IFERROR(INDEX(GroupLookup,MATCH(C169,CategoryList,0)),"")</f>
        <v/>
      </c>
      <c r="E169" s="112" t="n"/>
      <c r="F169" s="76" t="n"/>
      <c r="G169" s="76" t="n"/>
    </row>
    <row r="170" ht="15.75" customHeight="1" s="52">
      <c r="A170" s="108" t="n"/>
      <c r="B170" s="75" t="n"/>
      <c r="C170" s="75" t="n"/>
      <c r="D170" s="109">
        <f t="array" ref="D170:D170">IFERROR(INDEX(GroupLookup,MATCH(C170,CategoryList,0)),"")</f>
        <v/>
      </c>
      <c r="E170" s="110" t="n"/>
      <c r="F170" s="75" t="n"/>
      <c r="G170" s="75" t="n"/>
    </row>
    <row r="171" ht="15.75" customHeight="1" s="52">
      <c r="A171" s="114" t="n"/>
      <c r="B171" s="76" t="n"/>
      <c r="C171" s="76" t="n"/>
      <c r="D171" s="109">
        <f t="array" ref="D171:D171">IFERROR(INDEX(GroupLookup,MATCH(C171,CategoryList,0)),"")</f>
        <v/>
      </c>
      <c r="E171" s="112" t="n"/>
      <c r="F171" s="76" t="n"/>
      <c r="G171" s="76" t="n"/>
    </row>
    <row r="172" ht="15.75" customHeight="1" s="52">
      <c r="A172" s="108" t="n"/>
      <c r="B172" s="75" t="n"/>
      <c r="C172" s="75" t="n"/>
      <c r="D172" s="109">
        <f t="array" ref="D172:D172">IFERROR(INDEX(GroupLookup,MATCH(C172,CategoryList,0)),"")</f>
        <v/>
      </c>
      <c r="E172" s="110" t="n"/>
      <c r="F172" s="75" t="n"/>
      <c r="G172" s="75" t="n"/>
    </row>
    <row r="173" ht="15.75" customHeight="1" s="52">
      <c r="A173" s="114" t="n"/>
      <c r="B173" s="76" t="n"/>
      <c r="C173" s="76" t="n"/>
      <c r="D173" s="109">
        <f t="array" ref="D173:D173">IFERROR(INDEX(GroupLookup,MATCH(C173,CategoryList,0)),"")</f>
        <v/>
      </c>
      <c r="E173" s="112" t="n"/>
      <c r="F173" s="76" t="n"/>
      <c r="G173" s="76" t="n"/>
    </row>
    <row r="174" ht="15.75" customHeight="1" s="52">
      <c r="A174" s="108" t="n"/>
      <c r="B174" s="75" t="n"/>
      <c r="C174" s="75" t="n"/>
      <c r="D174" s="109">
        <f t="array" ref="D174:D174">IFERROR(INDEX(GroupLookup,MATCH(C174,CategoryList,0)),"")</f>
        <v/>
      </c>
      <c r="E174" s="110" t="n"/>
      <c r="F174" s="75" t="n"/>
      <c r="G174" s="75" t="n"/>
    </row>
    <row r="175" ht="15.75" customHeight="1" s="52">
      <c r="A175" s="114" t="n"/>
      <c r="B175" s="76" t="n"/>
      <c r="C175" s="76" t="n"/>
      <c r="D175" s="109">
        <f t="array" ref="D175:D175">IFERROR(INDEX(GroupLookup,MATCH(C175,CategoryList,0)),"")</f>
        <v/>
      </c>
      <c r="E175" s="112" t="n"/>
      <c r="F175" s="76" t="n"/>
      <c r="G175" s="76" t="n"/>
    </row>
    <row r="176" ht="15.75" customHeight="1" s="52">
      <c r="A176" s="108" t="n"/>
      <c r="B176" s="75" t="n"/>
      <c r="C176" s="75" t="n"/>
      <c r="D176" s="109">
        <f t="array" ref="D176:D176">IFERROR(INDEX(GroupLookup,MATCH(C176,CategoryList,0)),"")</f>
        <v/>
      </c>
      <c r="E176" s="110" t="n"/>
      <c r="F176" s="75" t="n"/>
      <c r="G176" s="75" t="n"/>
    </row>
    <row r="177" ht="15.75" customHeight="1" s="52">
      <c r="A177" s="114" t="n"/>
      <c r="B177" s="76" t="n"/>
      <c r="C177" s="76" t="n"/>
      <c r="D177" s="109">
        <f t="array" ref="D177:D177">IFERROR(INDEX(GroupLookup,MATCH(C177,CategoryList,0)),"")</f>
        <v/>
      </c>
      <c r="E177" s="112" t="n"/>
      <c r="F177" s="76" t="n"/>
      <c r="G177" s="76" t="n"/>
    </row>
    <row r="178" ht="15.75" customHeight="1" s="52">
      <c r="A178" s="108" t="n"/>
      <c r="B178" s="75" t="n"/>
      <c r="C178" s="75" t="n"/>
      <c r="D178" s="109">
        <f t="array" ref="D178:D178">IFERROR(INDEX(GroupLookup,MATCH(C178,CategoryList,0)),"")</f>
        <v/>
      </c>
      <c r="E178" s="110" t="n"/>
      <c r="F178" s="75" t="n"/>
      <c r="G178" s="75" t="n"/>
    </row>
    <row r="179" ht="15.75" customHeight="1" s="52">
      <c r="A179" s="114" t="n"/>
      <c r="B179" s="76" t="n"/>
      <c r="C179" s="76" t="n"/>
      <c r="D179" s="109">
        <f t="array" ref="D179:D179">IFERROR(INDEX(GroupLookup,MATCH(C179,CategoryList,0)),"")</f>
        <v/>
      </c>
      <c r="E179" s="112" t="n"/>
      <c r="F179" s="76" t="n"/>
      <c r="G179" s="76" t="n"/>
    </row>
    <row r="180" ht="15.75" customHeight="1" s="52">
      <c r="A180" s="108" t="n"/>
      <c r="B180" s="75" t="n"/>
      <c r="C180" s="75" t="n"/>
      <c r="D180" s="109">
        <f t="array" ref="D180:D180">IFERROR(INDEX(GroupLookup,MATCH(C180,CategoryList,0)),"")</f>
        <v/>
      </c>
      <c r="E180" s="110" t="n"/>
      <c r="F180" s="75" t="n"/>
      <c r="G180" s="75" t="n"/>
    </row>
    <row r="181" ht="15.75" customHeight="1" s="52">
      <c r="A181" s="114" t="n"/>
      <c r="B181" s="76" t="n"/>
      <c r="C181" s="76" t="n"/>
      <c r="D181" s="109">
        <f t="array" ref="D181:D181">IFERROR(INDEX(GroupLookup,MATCH(C181,CategoryList,0)),"")</f>
        <v/>
      </c>
      <c r="E181" s="112" t="n"/>
      <c r="F181" s="76" t="n"/>
      <c r="G181" s="76" t="n"/>
    </row>
    <row r="182" ht="15.75" customHeight="1" s="52">
      <c r="A182" s="108" t="n"/>
      <c r="B182" s="75" t="n"/>
      <c r="C182" s="75" t="n"/>
      <c r="D182" s="109">
        <f t="array" ref="D182:D182">IFERROR(INDEX(GroupLookup,MATCH(C182,CategoryList,0)),"")</f>
        <v/>
      </c>
      <c r="E182" s="110" t="n"/>
      <c r="F182" s="75" t="n"/>
      <c r="G182" s="75" t="n"/>
    </row>
    <row r="183" ht="15.75" customHeight="1" s="52">
      <c r="A183" s="114" t="n"/>
      <c r="B183" s="76" t="n"/>
      <c r="C183" s="76" t="n"/>
      <c r="D183" s="109">
        <f t="array" ref="D183:D183">IFERROR(INDEX(GroupLookup,MATCH(C183,CategoryList,0)),"")</f>
        <v/>
      </c>
      <c r="E183" s="112" t="n"/>
      <c r="F183" s="76" t="n"/>
      <c r="G183" s="76" t="n"/>
    </row>
    <row r="184" ht="15.75" customHeight="1" s="52">
      <c r="A184" s="108" t="n"/>
      <c r="B184" s="75" t="n"/>
      <c r="C184" s="75" t="n"/>
      <c r="D184" s="109">
        <f t="array" ref="D184:D184">IFERROR(INDEX(GroupLookup,MATCH(C184,CategoryList,0)),"")</f>
        <v/>
      </c>
      <c r="E184" s="110" t="n"/>
      <c r="F184" s="75" t="n"/>
      <c r="G184" s="75" t="n"/>
    </row>
    <row r="185" ht="15.75" customHeight="1" s="52">
      <c r="A185" s="114" t="n"/>
      <c r="B185" s="76" t="n"/>
      <c r="C185" s="76" t="n"/>
      <c r="D185" s="109">
        <f t="array" ref="D185:D185">IFERROR(INDEX(GroupLookup,MATCH(C185,CategoryList,0)),"")</f>
        <v/>
      </c>
      <c r="E185" s="112" t="n"/>
      <c r="F185" s="76" t="n"/>
      <c r="G185" s="76" t="n"/>
    </row>
    <row r="186" ht="15.75" customHeight="1" s="52">
      <c r="A186" s="108" t="n"/>
      <c r="B186" s="75" t="n"/>
      <c r="C186" s="75" t="n"/>
      <c r="D186" s="109">
        <f t="array" ref="D186:D186">IFERROR(INDEX(GroupLookup,MATCH(C186,CategoryList,0)),"")</f>
        <v/>
      </c>
      <c r="E186" s="110" t="n"/>
      <c r="F186" s="75" t="n"/>
      <c r="G186" s="75" t="n"/>
    </row>
    <row r="187" ht="15.75" customHeight="1" s="52">
      <c r="A187" s="114" t="n"/>
      <c r="B187" s="76" t="n"/>
      <c r="C187" s="76" t="n"/>
      <c r="D187" s="109">
        <f t="array" ref="D187:D187">IFERROR(INDEX(GroupLookup,MATCH(C187,CategoryList,0)),"")</f>
        <v/>
      </c>
      <c r="E187" s="112" t="n"/>
      <c r="F187" s="76" t="n"/>
      <c r="G187" s="76" t="n"/>
    </row>
    <row r="188" ht="15.75" customHeight="1" s="52">
      <c r="A188" s="108" t="n"/>
      <c r="B188" s="75" t="n"/>
      <c r="C188" s="75" t="n"/>
      <c r="D188" s="109">
        <f t="array" ref="D188:D188">IFERROR(INDEX(GroupLookup,MATCH(C188,CategoryList,0)),"")</f>
        <v/>
      </c>
      <c r="E188" s="110" t="n"/>
      <c r="F188" s="75" t="n"/>
      <c r="G188" s="75" t="n"/>
    </row>
    <row r="189" ht="15.75" customHeight="1" s="52">
      <c r="A189" s="114" t="n"/>
      <c r="B189" s="76" t="n"/>
      <c r="C189" s="76" t="n"/>
      <c r="D189" s="109">
        <f t="array" ref="D189:D189">IFERROR(INDEX(GroupLookup,MATCH(C189,CategoryList,0)),"")</f>
        <v/>
      </c>
      <c r="E189" s="112" t="n"/>
      <c r="F189" s="76" t="n"/>
      <c r="G189" s="76" t="n"/>
    </row>
    <row r="190" ht="15.75" customHeight="1" s="52">
      <c r="A190" s="108" t="n"/>
      <c r="B190" s="75" t="n"/>
      <c r="C190" s="75" t="n"/>
      <c r="D190" s="109">
        <f t="array" ref="D190:D190">IFERROR(INDEX(GroupLookup,MATCH(C190,CategoryList,0)),"")</f>
        <v/>
      </c>
      <c r="E190" s="110" t="n"/>
      <c r="F190" s="75" t="n"/>
      <c r="G190" s="75" t="n"/>
    </row>
    <row r="191" ht="15.75" customHeight="1" s="52">
      <c r="A191" s="114" t="n"/>
      <c r="B191" s="76" t="n"/>
      <c r="C191" s="76" t="n"/>
      <c r="D191" s="109">
        <f t="array" ref="D191:D191">IFERROR(INDEX(GroupLookup,MATCH(C191,CategoryList,0)),"")</f>
        <v/>
      </c>
      <c r="E191" s="112" t="n"/>
      <c r="F191" s="76" t="n"/>
      <c r="G191" s="76" t="n"/>
    </row>
    <row r="192" ht="15.75" customHeight="1" s="52">
      <c r="A192" s="108" t="n"/>
      <c r="B192" s="75" t="n"/>
      <c r="C192" s="75" t="n"/>
      <c r="D192" s="109">
        <f t="array" ref="D192:D192">IFERROR(INDEX(GroupLookup,MATCH(C192,CategoryList,0)),"")</f>
        <v/>
      </c>
      <c r="E192" s="110" t="n"/>
      <c r="F192" s="75" t="n"/>
      <c r="G192" s="75" t="n"/>
    </row>
    <row r="193" ht="15.75" customHeight="1" s="52">
      <c r="A193" s="114" t="n"/>
      <c r="B193" s="76" t="n"/>
      <c r="C193" s="76" t="n"/>
      <c r="D193" s="109">
        <f t="array" ref="D193:D193">IFERROR(INDEX(GroupLookup,MATCH(C193,CategoryList,0)),"")</f>
        <v/>
      </c>
      <c r="E193" s="112" t="n"/>
      <c r="F193" s="76" t="n"/>
      <c r="G193" s="76" t="n"/>
    </row>
    <row r="194" ht="15.75" customHeight="1" s="52">
      <c r="A194" s="108" t="n"/>
      <c r="B194" s="75" t="n"/>
      <c r="C194" s="75" t="n"/>
      <c r="D194" s="109">
        <f t="array" ref="D194:D194">IFERROR(INDEX(GroupLookup,MATCH(C194,CategoryList,0)),"")</f>
        <v/>
      </c>
      <c r="E194" s="110" t="n"/>
      <c r="F194" s="75" t="n"/>
      <c r="G194" s="75" t="n"/>
    </row>
    <row r="195" ht="15.75" customHeight="1" s="52">
      <c r="A195" s="114" t="n"/>
      <c r="B195" s="76" t="n"/>
      <c r="C195" s="76" t="n"/>
      <c r="D195" s="109">
        <f t="array" ref="D195:D195">IFERROR(INDEX(GroupLookup,MATCH(C195,CategoryList,0)),"")</f>
        <v/>
      </c>
      <c r="E195" s="112" t="n"/>
      <c r="F195" s="76" t="n"/>
      <c r="G195" s="76" t="n"/>
    </row>
    <row r="196" ht="15.75" customHeight="1" s="52">
      <c r="A196" s="108" t="n"/>
      <c r="B196" s="75" t="n"/>
      <c r="C196" s="75" t="n"/>
      <c r="D196" s="109">
        <f t="array" ref="D196:D196">IFERROR(INDEX(GroupLookup,MATCH(C196,CategoryList,0)),"")</f>
        <v/>
      </c>
      <c r="E196" s="110" t="n"/>
      <c r="F196" s="75" t="n"/>
      <c r="G196" s="75" t="n"/>
    </row>
    <row r="197" ht="15.75" customHeight="1" s="52">
      <c r="A197" s="114" t="n"/>
      <c r="B197" s="76" t="n"/>
      <c r="C197" s="76" t="n"/>
      <c r="D197" s="109">
        <f t="array" ref="D197:D197">IFERROR(INDEX(GroupLookup,MATCH(C197,CategoryList,0)),"")</f>
        <v/>
      </c>
      <c r="E197" s="112" t="n"/>
      <c r="F197" s="76" t="n"/>
      <c r="G197" s="76" t="n"/>
    </row>
    <row r="198" ht="15.75" customHeight="1" s="52">
      <c r="A198" s="108" t="n"/>
      <c r="B198" s="75" t="n"/>
      <c r="C198" s="75" t="n"/>
      <c r="D198" s="109">
        <f t="array" ref="D198:D198">IFERROR(INDEX(GroupLookup,MATCH(C198,CategoryList,0)),"")</f>
        <v/>
      </c>
      <c r="E198" s="110" t="n"/>
      <c r="F198" s="75" t="n"/>
      <c r="G198" s="75" t="n"/>
    </row>
    <row r="199" ht="15.75" customHeight="1" s="52">
      <c r="A199" s="114" t="n"/>
      <c r="B199" s="76" t="n"/>
      <c r="C199" s="76" t="n"/>
      <c r="D199" s="109">
        <f t="array" ref="D199:D199">IFERROR(INDEX(GroupLookup,MATCH(C199,CategoryList,0)),"")</f>
        <v/>
      </c>
      <c r="E199" s="112" t="n"/>
      <c r="F199" s="76" t="n"/>
      <c r="G199" s="76" t="n"/>
    </row>
    <row r="200" ht="15.75" customHeight="1" s="52">
      <c r="A200" s="108" t="n"/>
      <c r="B200" s="75" t="n"/>
      <c r="C200" s="75" t="n"/>
      <c r="D200" s="109">
        <f t="array" ref="D200:D200">IFERROR(INDEX(GroupLookup,MATCH(C200,CategoryList,0)),"")</f>
        <v/>
      </c>
      <c r="E200" s="110" t="n"/>
      <c r="F200" s="75" t="n"/>
      <c r="G200" s="75" t="n"/>
    </row>
    <row r="201" ht="15.75" customHeight="1" s="52">
      <c r="A201" s="114" t="n"/>
      <c r="B201" s="76" t="n"/>
      <c r="C201" s="76" t="n"/>
      <c r="D201" s="109">
        <f t="array" ref="D201:D201">IFERROR(INDEX(GroupLookup,MATCH(C201,CategoryList,0)),"")</f>
        <v/>
      </c>
      <c r="E201" s="112" t="n"/>
      <c r="F201" s="76" t="n"/>
      <c r="G201" s="76" t="n"/>
    </row>
    <row r="202" ht="15.75" customHeight="1" s="52">
      <c r="A202" s="108" t="n"/>
      <c r="B202" s="75" t="n"/>
      <c r="C202" s="75" t="n"/>
      <c r="D202" s="109">
        <f t="array" ref="D202:D202">IFERROR(INDEX(GroupLookup,MATCH(C202,CategoryList,0)),"")</f>
        <v/>
      </c>
      <c r="E202" s="110" t="n"/>
      <c r="F202" s="75" t="n"/>
      <c r="G202" s="75" t="n"/>
    </row>
    <row r="203" ht="15.75" customHeight="1" s="52">
      <c r="A203" s="114" t="n"/>
      <c r="B203" s="76" t="n"/>
      <c r="C203" s="76" t="n"/>
      <c r="D203" s="109">
        <f t="array" ref="D203:D203">IFERROR(INDEX(GroupLookup,MATCH(C203,CategoryList,0)),"")</f>
        <v/>
      </c>
      <c r="E203" s="112" t="n"/>
      <c r="F203" s="76" t="n"/>
      <c r="G203" s="76" t="n"/>
    </row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autoFilter ref="A3:G203"/>
  <mergeCells count="12">
    <mergeCell ref="A1:G1"/>
    <mergeCell ref="J20:K20"/>
    <mergeCell ref="I2:K2"/>
    <mergeCell ref="I14:K14"/>
    <mergeCell ref="J16:K16"/>
    <mergeCell ref="J15:K15"/>
    <mergeCell ref="I1:K1"/>
    <mergeCell ref="J18:K18"/>
    <mergeCell ref="J19:K19"/>
    <mergeCell ref="A2:G2"/>
    <mergeCell ref="I21:K21"/>
    <mergeCell ref="J17:K17"/>
  </mergeCells>
  <conditionalFormatting sqref="J13">
    <cfRule type="expression" rank="0" priority="2" equalAverage="0" aboveAverage="0" dxfId="0" text="" percent="0" bottom="0">
      <formula>$J$13&lt;&gt;0</formula>
    </cfRule>
  </conditionalFormatting>
  <conditionalFormatting sqref="A4:G203">
    <cfRule type="expression" rank="0" priority="3" equalAverage="0" aboveAverage="0" dxfId="7" text="" percent="0" bottom="0">
      <formula>AND($E4&gt;0,$D4="")</formula>
    </cfRule>
  </conditionalFormatting>
  <dataValidations count="4">
    <dataValidation sqref="E4:E203" showDropDown="0" showInputMessage="0" showErrorMessage="1" allowBlank="1" errorTitle="পরিমাণ ঋণাত্মক হতে পারে না" error="শুধু শূন্য বা তার বেশি সংখ্যা লিখুন। টাকার চিহ্ন নিজে থেকে বসবে।" type="decimal" errorStyle="stop" operator="greaterThanOrEqual">
      <formula1>0</formula1>
      <formula2>0</formula2>
    </dataValidation>
    <dataValidation sqref="C4:C203" showDropDown="0" showInputMessage="0" showErrorMessage="1" allowBlank="1" errorTitle="খাত তালিকায় নেই" error="ড্রপ-ডাউন থেকে একটি খাত বেছে নিন। তালিকার বাইরের খাত লিখলে ‘গ্রুপ’ কলাম খালি থাকবে এবং খরচটি গ্রুপভিত্তিক হিসাবে ধরা পড়বে না। নতুন খাত দরকার হলে ‘সেটিংস’ শিটে যোগ করুন।" type="list" errorStyle="stop" operator="between">
      <formula1>CategoryList</formula1>
      <formula2>0</formula2>
    </dataValidation>
    <dataValidation sqref="A4:A203" showDropDown="0" showInputMessage="0" showErrorMessage="1" allowBlank="1" errorTitle="তারিখ এই মাসের বাইরে" error="তারিখটি এই শিটের মাসের মধ্যে পড়ছে না। ভুল হলে ঠিক করুন, নয়তো ‘হ্যাঁ’ চেপে রেখে দিন।" type="date" errorStyle="warning" operator="between">
      <formula1>DATE(2026,12,1)</formula1>
      <formula2>DATE(2026,12,31)</formula2>
    </dataValidation>
    <dataValidation sqref="F4:F203" showDropDown="0" showInputMessage="0" showErrorMessage="1" allowBlank="1" errorTitle="পেমেন্ট মাধ্যম তালিকায় নেই" error="ড্রপ-ডাউন থেকে একটি পেমেন্ট মাধ্যম বেছে নিন।" type="list" errorStyle="stop" operator="between">
      <formula1>PaymentList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2026-09-09T14:09:14Z</dcterms:created>
  <dcterms:modified xmlns:dcterms="http://purl.org/dc/terms/" xmlns:xsi="http://www.w3.org/2001/XMLSchema-instance" xsi:type="dcterms:W3CDTF">2026-09-09T16:34:41Z</dcterms:modified>
  <cp:revision>1</cp:revision>
</cp:coreProperties>
</file>